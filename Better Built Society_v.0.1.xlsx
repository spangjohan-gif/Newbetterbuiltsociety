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johanspang/modgroup Dropbox/8. Fastighetsbolag/86. Sustainability/Better built society/"/>
    </mc:Choice>
  </mc:AlternateContent>
  <xr:revisionPtr revIDLastSave="0" documentId="13_ncr:1_{536C12FB-F98C-0E40-B4BA-A78D9B03C0B6}" xr6:coauthVersionLast="47" xr6:coauthVersionMax="47" xr10:uidLastSave="{00000000-0000-0000-0000-000000000000}"/>
  <bookViews>
    <workbookView xWindow="-20" yWindow="620" windowWidth="33620" windowHeight="18620" xr2:uid="{CCBCE2B4-DEB1-5E4A-A0AB-E08B4C46CF57}"/>
  </bookViews>
  <sheets>
    <sheet name="Definitioner" sheetId="2" r:id="rId1"/>
    <sheet name="Indata" sheetId="3" r:id="rId2"/>
    <sheet name="Beräkningar" sheetId="4" r:id="rId3"/>
    <sheet name="Resultat" sheetId="10" r:id="rId4"/>
  </sheets>
  <definedNames>
    <definedName name="_xlchart.v1.0" hidden="1">Beräkningar!$A$68:$G$68</definedName>
    <definedName name="_xlchart.v1.1" hidden="1">Beräkningar!$J$1:$K$68</definedName>
    <definedName name="_xlchart.v1.2" hidden="1">Beräkningar!$J$68:$K$68</definedName>
    <definedName name="_xlchart.v1.3" hidden="1">Beräkningar!$A$68:$G$68</definedName>
    <definedName name="_xlchart.v1.4" hidden="1">Beräkningar!$J$1:$K$68</definedName>
    <definedName name="_xlchart.v1.5" hidden="1">Beräkningar!$J$68:$K$68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/>
  <c r="J2" i="4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2" i="10"/>
  <c r="A1" i="10"/>
  <c r="K13" i="4"/>
  <c r="K11" i="4"/>
  <c r="H17" i="4"/>
  <c r="H24" i="4"/>
  <c r="H25" i="4"/>
  <c r="H34" i="4"/>
  <c r="C53" i="4"/>
  <c r="H53" i="4" s="1"/>
  <c r="B53" i="4"/>
  <c r="A53" i="4"/>
  <c r="C44" i="4"/>
  <c r="H44" i="4" s="1"/>
  <c r="C43" i="4"/>
  <c r="H43" i="4" s="1"/>
  <c r="C28" i="4"/>
  <c r="H28" i="4" s="1"/>
  <c r="B25" i="4"/>
  <c r="A25" i="4"/>
  <c r="A3" i="4"/>
  <c r="B3" i="4"/>
  <c r="C3" i="4"/>
  <c r="H3" i="4" s="1"/>
  <c r="A4" i="4"/>
  <c r="B4" i="4"/>
  <c r="C4" i="4"/>
  <c r="H4" i="4" s="1"/>
  <c r="A5" i="4"/>
  <c r="B5" i="4"/>
  <c r="C5" i="4"/>
  <c r="H5" i="4" s="1"/>
  <c r="A6" i="4"/>
  <c r="K6" i="4" s="1"/>
  <c r="B6" i="4"/>
  <c r="C6" i="4"/>
  <c r="H6" i="4" s="1"/>
  <c r="A7" i="4"/>
  <c r="B7" i="4"/>
  <c r="C7" i="4"/>
  <c r="H7" i="4" s="1"/>
  <c r="A8" i="4"/>
  <c r="B8" i="4"/>
  <c r="C8" i="4"/>
  <c r="H8" i="4" s="1"/>
  <c r="A9" i="4"/>
  <c r="K9" i="4" s="1"/>
  <c r="B9" i="4"/>
  <c r="C9" i="4"/>
  <c r="H9" i="4" s="1"/>
  <c r="A10" i="4"/>
  <c r="B10" i="4"/>
  <c r="C10" i="4"/>
  <c r="H10" i="4" s="1"/>
  <c r="A11" i="4"/>
  <c r="B11" i="4"/>
  <c r="C11" i="4"/>
  <c r="H11" i="4" s="1"/>
  <c r="A12" i="4"/>
  <c r="B12" i="4"/>
  <c r="C12" i="4"/>
  <c r="H12" i="4" s="1"/>
  <c r="A13" i="4"/>
  <c r="B13" i="4"/>
  <c r="C13" i="4"/>
  <c r="H13" i="4" s="1"/>
  <c r="A14" i="4"/>
  <c r="B14" i="4"/>
  <c r="C14" i="4"/>
  <c r="H14" i="4" s="1"/>
  <c r="A15" i="4"/>
  <c r="B15" i="4"/>
  <c r="C15" i="4"/>
  <c r="H15" i="4" s="1"/>
  <c r="A16" i="4"/>
  <c r="B16" i="4"/>
  <c r="C16" i="4"/>
  <c r="H16" i="4" s="1"/>
  <c r="A17" i="4"/>
  <c r="K17" i="4" s="1"/>
  <c r="B17" i="4"/>
  <c r="C17" i="4"/>
  <c r="A18" i="4"/>
  <c r="K18" i="4" s="1"/>
  <c r="B18" i="4"/>
  <c r="C18" i="4"/>
  <c r="H18" i="4" s="1"/>
  <c r="A19" i="4"/>
  <c r="B19" i="4"/>
  <c r="C19" i="4"/>
  <c r="H19" i="4" s="1"/>
  <c r="A20" i="4"/>
  <c r="K20" i="4" s="1"/>
  <c r="B20" i="4"/>
  <c r="C20" i="4"/>
  <c r="H20" i="4" s="1"/>
  <c r="A21" i="4"/>
  <c r="B21" i="4"/>
  <c r="C21" i="4"/>
  <c r="H21" i="4" s="1"/>
  <c r="A22" i="4"/>
  <c r="K22" i="4" s="1"/>
  <c r="B22" i="4"/>
  <c r="C22" i="4"/>
  <c r="H22" i="4" s="1"/>
  <c r="A23" i="4"/>
  <c r="K23" i="4" s="1"/>
  <c r="B23" i="4"/>
  <c r="C23" i="4"/>
  <c r="H23" i="4" s="1"/>
  <c r="A24" i="4"/>
  <c r="K24" i="4" s="1"/>
  <c r="B24" i="4"/>
  <c r="A26" i="4"/>
  <c r="K26" i="4" s="1"/>
  <c r="B26" i="4"/>
  <c r="C26" i="4"/>
  <c r="H26" i="4" s="1"/>
  <c r="A27" i="4"/>
  <c r="K27" i="4" s="1"/>
  <c r="B27" i="4"/>
  <c r="C27" i="4"/>
  <c r="H27" i="4" s="1"/>
  <c r="A29" i="4"/>
  <c r="K29" i="4" s="1"/>
  <c r="B29" i="4"/>
  <c r="C29" i="4"/>
  <c r="H29" i="4" s="1"/>
  <c r="A30" i="4"/>
  <c r="K30" i="4" s="1"/>
  <c r="B30" i="4"/>
  <c r="C30" i="4"/>
  <c r="H30" i="4" s="1"/>
  <c r="A31" i="4"/>
  <c r="B31" i="4"/>
  <c r="C31" i="4"/>
  <c r="H31" i="4" s="1"/>
  <c r="A32" i="4"/>
  <c r="B32" i="4"/>
  <c r="C32" i="4"/>
  <c r="H32" i="4" s="1"/>
  <c r="A33" i="4"/>
  <c r="K33" i="4" s="1"/>
  <c r="B33" i="4"/>
  <c r="C33" i="4"/>
  <c r="H33" i="4" s="1"/>
  <c r="A34" i="4"/>
  <c r="K34" i="4" s="1"/>
  <c r="B34" i="4"/>
  <c r="C34" i="4"/>
  <c r="A35" i="4"/>
  <c r="B35" i="4"/>
  <c r="C35" i="4"/>
  <c r="H35" i="4" s="1"/>
  <c r="A36" i="4"/>
  <c r="K36" i="4" s="1"/>
  <c r="B36" i="4"/>
  <c r="C36" i="4"/>
  <c r="H36" i="4" s="1"/>
  <c r="A37" i="4"/>
  <c r="B37" i="4"/>
  <c r="C37" i="4"/>
  <c r="H37" i="4" s="1"/>
  <c r="A38" i="4"/>
  <c r="B38" i="4"/>
  <c r="C38" i="4"/>
  <c r="H38" i="4" s="1"/>
  <c r="A39" i="4"/>
  <c r="B39" i="4"/>
  <c r="C39" i="4"/>
  <c r="H39" i="4" s="1"/>
  <c r="A40" i="4"/>
  <c r="K40" i="4" s="1"/>
  <c r="B40" i="4"/>
  <c r="C40" i="4"/>
  <c r="H40" i="4" s="1"/>
  <c r="A41" i="4"/>
  <c r="B41" i="4"/>
  <c r="C41" i="4"/>
  <c r="H41" i="4" s="1"/>
  <c r="A42" i="4"/>
  <c r="K42" i="4" s="1"/>
  <c r="B42" i="4"/>
  <c r="C42" i="4"/>
  <c r="H42" i="4" s="1"/>
  <c r="A43" i="4"/>
  <c r="B43" i="4"/>
  <c r="A44" i="4"/>
  <c r="B44" i="4"/>
  <c r="A45" i="4"/>
  <c r="K45" i="4" s="1"/>
  <c r="B45" i="4"/>
  <c r="C45" i="4"/>
  <c r="H45" i="4" s="1"/>
  <c r="A46" i="4"/>
  <c r="B46" i="4"/>
  <c r="C46" i="4"/>
  <c r="H46" i="4" s="1"/>
  <c r="A47" i="4"/>
  <c r="B47" i="4"/>
  <c r="C47" i="4"/>
  <c r="H47" i="4" s="1"/>
  <c r="A48" i="4"/>
  <c r="K48" i="4" s="1"/>
  <c r="B48" i="4"/>
  <c r="C48" i="4"/>
  <c r="H48" i="4" s="1"/>
  <c r="A49" i="4"/>
  <c r="B49" i="4"/>
  <c r="C49" i="4"/>
  <c r="H49" i="4" s="1"/>
  <c r="A50" i="4"/>
  <c r="B50" i="4"/>
  <c r="C50" i="4"/>
  <c r="H50" i="4" s="1"/>
  <c r="A51" i="4"/>
  <c r="K51" i="4" s="1"/>
  <c r="B51" i="4"/>
  <c r="C51" i="4"/>
  <c r="H51" i="4" s="1"/>
  <c r="A52" i="4"/>
  <c r="B52" i="4"/>
  <c r="C52" i="4"/>
  <c r="H52" i="4" s="1"/>
  <c r="A54" i="4"/>
  <c r="K54" i="4" s="1"/>
  <c r="B54" i="4"/>
  <c r="C54" i="4"/>
  <c r="H54" i="4" s="1"/>
  <c r="A55" i="4"/>
  <c r="B55" i="4"/>
  <c r="C55" i="4"/>
  <c r="H55" i="4" s="1"/>
  <c r="A56" i="4"/>
  <c r="B56" i="4"/>
  <c r="C56" i="4"/>
  <c r="H56" i="4" s="1"/>
  <c r="A57" i="4"/>
  <c r="K57" i="4" s="1"/>
  <c r="B57" i="4"/>
  <c r="C57" i="4"/>
  <c r="H57" i="4" s="1"/>
  <c r="A58" i="4"/>
  <c r="K58" i="4" s="1"/>
  <c r="B58" i="4"/>
  <c r="C58" i="4"/>
  <c r="H58" i="4" s="1"/>
  <c r="A59" i="4"/>
  <c r="K59" i="4" s="1"/>
  <c r="B59" i="4"/>
  <c r="C59" i="4"/>
  <c r="H59" i="4" s="1"/>
  <c r="A60" i="4"/>
  <c r="B60" i="4"/>
  <c r="C60" i="4"/>
  <c r="H60" i="4" s="1"/>
  <c r="A61" i="4"/>
  <c r="B61" i="4"/>
  <c r="C61" i="4"/>
  <c r="H61" i="4" s="1"/>
  <c r="A62" i="4"/>
  <c r="K62" i="4" s="1"/>
  <c r="B62" i="4"/>
  <c r="C62" i="4"/>
  <c r="H62" i="4" s="1"/>
  <c r="A63" i="4"/>
  <c r="B63" i="4"/>
  <c r="C63" i="4"/>
  <c r="H63" i="4" s="1"/>
  <c r="A64" i="4"/>
  <c r="B64" i="4"/>
  <c r="C64" i="4"/>
  <c r="H64" i="4" s="1"/>
  <c r="A65" i="4"/>
  <c r="B65" i="4"/>
  <c r="C65" i="4"/>
  <c r="H65" i="4" s="1"/>
  <c r="A66" i="4"/>
  <c r="K66" i="4" s="1"/>
  <c r="B66" i="4"/>
  <c r="C66" i="4"/>
  <c r="H66" i="4" s="1"/>
  <c r="A67" i="4"/>
  <c r="K67" i="4" s="1"/>
  <c r="B67" i="4"/>
  <c r="C67" i="4"/>
  <c r="H67" i="4" s="1"/>
  <c r="A68" i="4"/>
  <c r="B68" i="4"/>
  <c r="C68" i="4"/>
  <c r="H68" i="4" s="1"/>
  <c r="A2" i="4"/>
  <c r="K2" i="4" s="1"/>
  <c r="B2" i="4"/>
  <c r="C2" i="4"/>
  <c r="H2" i="4" s="1"/>
  <c r="B30" i="10" l="1"/>
  <c r="B8" i="10"/>
  <c r="B10" i="10"/>
  <c r="I60" i="4"/>
  <c r="I53" i="4"/>
  <c r="I44" i="4"/>
  <c r="I43" i="4"/>
  <c r="I21" i="4"/>
  <c r="I62" i="4"/>
  <c r="I54" i="4"/>
  <c r="I13" i="4"/>
  <c r="I56" i="4"/>
  <c r="I61" i="4"/>
  <c r="I4" i="4"/>
  <c r="I59" i="4"/>
  <c r="I20" i="4"/>
  <c r="I36" i="4"/>
  <c r="I64" i="4"/>
  <c r="I28" i="4"/>
  <c r="I52" i="4"/>
  <c r="I12" i="4"/>
  <c r="I68" i="4"/>
  <c r="I29" i="4"/>
  <c r="J29" i="4" s="1"/>
  <c r="B15" i="10" s="1"/>
  <c r="I67" i="4"/>
  <c r="I50" i="4"/>
  <c r="I47" i="4"/>
  <c r="I51" i="4"/>
  <c r="I45" i="4"/>
  <c r="I42" i="4"/>
  <c r="I39" i="4"/>
  <c r="I37" i="4"/>
  <c r="I35" i="4"/>
  <c r="I34" i="4"/>
  <c r="I31" i="4"/>
  <c r="I24" i="4"/>
  <c r="I19" i="4"/>
  <c r="I18" i="4"/>
  <c r="J18" i="4" s="1"/>
  <c r="I16" i="4"/>
  <c r="I11" i="4"/>
  <c r="I10" i="4"/>
  <c r="I5" i="4"/>
  <c r="I58" i="4"/>
  <c r="J58" i="4" s="1"/>
  <c r="B27" i="10" s="1"/>
  <c r="I41" i="4"/>
  <c r="I63" i="4"/>
  <c r="I55" i="4"/>
  <c r="I46" i="4"/>
  <c r="I38" i="4"/>
  <c r="I30" i="4"/>
  <c r="I66" i="4"/>
  <c r="J66" i="4" s="1"/>
  <c r="I33" i="4"/>
  <c r="J33" i="4" s="1"/>
  <c r="B17" i="10" s="1"/>
  <c r="I7" i="4"/>
  <c r="I26" i="4"/>
  <c r="J26" i="4" s="1"/>
  <c r="B13" i="10" s="1"/>
  <c r="I17" i="4"/>
  <c r="J17" i="4" s="1"/>
  <c r="B7" i="10" s="1"/>
  <c r="I9" i="4"/>
  <c r="I8" i="4"/>
  <c r="I49" i="4"/>
  <c r="I23" i="4"/>
  <c r="J23" i="4" s="1"/>
  <c r="B11" i="10" s="1"/>
  <c r="I15" i="4"/>
  <c r="I65" i="4"/>
  <c r="I57" i="4"/>
  <c r="J57" i="4" s="1"/>
  <c r="B26" i="10" s="1"/>
  <c r="I48" i="4"/>
  <c r="I40" i="4"/>
  <c r="I32" i="4"/>
  <c r="I22" i="4"/>
  <c r="J22" i="4" s="1"/>
  <c r="I14" i="4"/>
  <c r="I6" i="4"/>
  <c r="I25" i="4"/>
  <c r="I27" i="4"/>
  <c r="I3" i="4"/>
  <c r="J42" i="4" l="1"/>
  <c r="B21" i="10" s="1"/>
  <c r="J40" i="4"/>
  <c r="B20" i="10" s="1"/>
  <c r="J27" i="4"/>
  <c r="B14" i="10" s="1"/>
  <c r="J30" i="4"/>
  <c r="B16" i="10" s="1"/>
  <c r="J20" i="4"/>
  <c r="B9" i="10" s="1"/>
  <c r="J48" i="4"/>
  <c r="B23" i="10" s="1"/>
  <c r="J9" i="4"/>
  <c r="B4" i="10" s="1"/>
  <c r="B2" i="10"/>
  <c r="J67" i="4"/>
  <c r="B31" i="10" s="1"/>
  <c r="J11" i="4"/>
  <c r="B5" i="10" s="1"/>
  <c r="J59" i="4"/>
  <c r="B28" i="10" s="1"/>
  <c r="J51" i="4"/>
  <c r="B24" i="10" s="1"/>
  <c r="J54" i="4"/>
  <c r="B25" i="10" s="1"/>
  <c r="J45" i="4"/>
  <c r="B22" i="10" s="1"/>
  <c r="J24" i="4"/>
  <c r="B12" i="10" s="1"/>
  <c r="J13" i="4"/>
  <c r="B6" i="10" s="1"/>
  <c r="J6" i="4"/>
  <c r="B3" i="10" s="1"/>
  <c r="J34" i="4"/>
  <c r="B18" i="10" s="1"/>
  <c r="J36" i="4"/>
  <c r="B19" i="10" s="1"/>
  <c r="J62" i="4"/>
  <c r="B29" i="10" s="1"/>
</calcChain>
</file>

<file path=xl/sharedStrings.xml><?xml version="1.0" encoding="utf-8"?>
<sst xmlns="http://schemas.openxmlformats.org/spreadsheetml/2006/main" count="450" uniqueCount="253">
  <si>
    <t>Rent</t>
  </si>
  <si>
    <t>Mätmetod</t>
  </si>
  <si>
    <t>Parameter</t>
  </si>
  <si>
    <t>Definition</t>
  </si>
  <si>
    <t>Renhållning av allmänna ytor och återvinning</t>
  </si>
  <si>
    <t>Enkät (60%) + Städfrekvens (20%) + Tömning (10%) + Återvinning (10%)</t>
  </si>
  <si>
    <t>Möjlighet att mötas</t>
  </si>
  <si>
    <t>Tillgång till öppna mötesplatser</t>
  </si>
  <si>
    <t>Avstånd till torg (40%), park (40%), fritidsgård (20%)</t>
  </si>
  <si>
    <t>Igenkänning</t>
  </si>
  <si>
    <t>Stabilitet i boendet</t>
  </si>
  <si>
    <t>Omflyttningsfrekvens + andel 2:a-handskontrakt</t>
  </si>
  <si>
    <t>Trygghet</t>
  </si>
  <si>
    <t>Faktisk och upplevd trygghet</t>
  </si>
  <si>
    <t>Anmälda brott/1000 inv (70%) + Enkät (30%)</t>
  </si>
  <si>
    <t>Service</t>
  </si>
  <si>
    <t>Tillgänglighet till service</t>
  </si>
  <si>
    <t>Avstånd till post, shopping, återvinning, skola</t>
  </si>
  <si>
    <t>Utbildning</t>
  </si>
  <si>
    <t>Tillgång till högre utbildning</t>
  </si>
  <si>
    <t>Restid till närmaste lärosäte</t>
  </si>
  <si>
    <t>Barfota</t>
  </si>
  <si>
    <t>Tillgång till grönytor</t>
  </si>
  <si>
    <t>Andel grönyta inom 2km radie + kvalitetsindex</t>
  </si>
  <si>
    <t>Föreningsliv</t>
  </si>
  <si>
    <t>Tillgång till föreningslokaler</t>
  </si>
  <si>
    <t>Avstånd (50%) + antal lokaler (50%)</t>
  </si>
  <si>
    <t>Leveranser</t>
  </si>
  <si>
    <t>Möjlighet till hemleveranser</t>
  </si>
  <si>
    <t>Antal leverantörer + typ av leveranser</t>
  </si>
  <si>
    <t>Variation gator</t>
  </si>
  <si>
    <t>Mix av olika vägtyper</t>
  </si>
  <si>
    <t>Fördelning mellan olika vägklasser</t>
  </si>
  <si>
    <t>Livsmedel</t>
  </si>
  <si>
    <t>Tillgång till matbutiker</t>
  </si>
  <si>
    <t>Avstånd till närbutik (60%) + stormarknad (40%)</t>
  </si>
  <si>
    <t>Kraftmix</t>
  </si>
  <si>
    <t>Energiförsörjningens diversitet</t>
  </si>
  <si>
    <t>Antal källor + backup + omställningsförmåga</t>
  </si>
  <si>
    <t>Stress</t>
  </si>
  <si>
    <t>Ljud- och hastighetsnivåer</t>
  </si>
  <si>
    <t>Ljudnivå (60%) + fordonshastighet (40%)</t>
  </si>
  <si>
    <t>Levande bottenvån</t>
  </si>
  <si>
    <t>Kommersiella ytor i markplan</t>
  </si>
  <si>
    <t>Andel kommersiell yta i bottenvåning</t>
  </si>
  <si>
    <t>Spontanidrott</t>
  </si>
  <si>
    <t>Tillgång till spontanidrottsytor</t>
  </si>
  <si>
    <t>Viktad yta baserad på avstånd</t>
  </si>
  <si>
    <t>Restauranger</t>
  </si>
  <si>
    <t>Tillgänglighet till restauranger</t>
  </si>
  <si>
    <t>Transporttid till närmaste restaurang</t>
  </si>
  <si>
    <t>Vänlighet</t>
  </si>
  <si>
    <t>Social trivsel och stabilitet</t>
  </si>
  <si>
    <t>Enkät (50%) + omsättning (50%)</t>
  </si>
  <si>
    <t>Respekt</t>
  </si>
  <si>
    <t>Demografisk blandning</t>
  </si>
  <si>
    <t>Inomhussport</t>
  </si>
  <si>
    <t>Tillgång till sportanläggningar</t>
  </si>
  <si>
    <t>Avstånd till simhall (40%) + sporthall (60%)</t>
  </si>
  <si>
    <t>Kollektivtrafik</t>
  </si>
  <si>
    <t>Kollektivtrafikens tillgänglighet</t>
  </si>
  <si>
    <t>Avstånd (40%) + frekvens (30%) + typ (30%)</t>
  </si>
  <si>
    <t>Självskattning</t>
  </si>
  <si>
    <t>Upplevd livskvalitet</t>
  </si>
  <si>
    <t>Enkät: trivsel, rekommendation, framtidstro</t>
  </si>
  <si>
    <t>Unikitet</t>
  </si>
  <si>
    <t>Områdets särprägel</t>
  </si>
  <si>
    <t>Arkitektur (40%) + funktion (30%) + kultur (30%)</t>
  </si>
  <si>
    <t>Lekplatser</t>
  </si>
  <si>
    <t>Tillgång till lekplatser</t>
  </si>
  <si>
    <t>Närhet (60%) + kvalitet (40%)</t>
  </si>
  <si>
    <t>Meningsfulla kontakter</t>
  </si>
  <si>
    <t>Social integration</t>
  </si>
  <si>
    <t>Enkät: kontakter, aktiviteter, gemenskap</t>
  </si>
  <si>
    <t>Stolthet</t>
  </si>
  <si>
    <t>Områdesidentifikation</t>
  </si>
  <si>
    <t>Återflyttningsgrad</t>
  </si>
  <si>
    <t>Tidigare boendes återkomst</t>
  </si>
  <si>
    <t>Procentandel återflyttare</t>
  </si>
  <si>
    <t>Likriktning</t>
  </si>
  <si>
    <t>Arkitektonisk enhetlighet</t>
  </si>
  <si>
    <t>Fasad (40%) + tak (30%) + höjd (30%)</t>
  </si>
  <si>
    <t>Lokal arkitektur</t>
  </si>
  <si>
    <t>Platsanpassning</t>
  </si>
  <si>
    <t>Klimat (30%) + material (25%) + tradition (25%) + plats (20%)</t>
  </si>
  <si>
    <t>Återbruksgrad</t>
  </si>
  <si>
    <t>Återanvänt byggmaterial</t>
  </si>
  <si>
    <t>Procentandel återbrukat material</t>
  </si>
  <si>
    <t>Blandad bebyggelse</t>
  </si>
  <si>
    <t>Aktivitet över dygnet</t>
  </si>
  <si>
    <t>Dygnsfördelning (50%) + användargrupper (50%)</t>
  </si>
  <si>
    <t>Delparameter</t>
  </si>
  <si>
    <t>Råvärde</t>
  </si>
  <si>
    <t>Enhet</t>
  </si>
  <si>
    <t>Kommentar</t>
  </si>
  <si>
    <t>Enkät</t>
  </si>
  <si>
    <t>Skala 1-5</t>
  </si>
  <si>
    <t>Städfrekvens</t>
  </si>
  <si>
    <t>Dagar/vecka</t>
  </si>
  <si>
    <t>Tömning</t>
  </si>
  <si>
    <t>Återvinning</t>
  </si>
  <si>
    <t>Torg</t>
  </si>
  <si>
    <t>Meter</t>
  </si>
  <si>
    <t>Park</t>
  </si>
  <si>
    <t>Fritidsgård</t>
  </si>
  <si>
    <t>Procent/år</t>
  </si>
  <si>
    <t>Andrahand</t>
  </si>
  <si>
    <t>Procent</t>
  </si>
  <si>
    <t>Andel andrahandskontrakt</t>
  </si>
  <si>
    <t>Brott</t>
  </si>
  <si>
    <t>Upplevd trygghet</t>
  </si>
  <si>
    <t>Post</t>
  </si>
  <si>
    <t>Shopping</t>
  </si>
  <si>
    <t>Skola</t>
  </si>
  <si>
    <t>Restid</t>
  </si>
  <si>
    <t>Minuter</t>
  </si>
  <si>
    <t>Till högskola/universitet</t>
  </si>
  <si>
    <t>Grönyta</t>
  </si>
  <si>
    <t>Kvalitet</t>
  </si>
  <si>
    <t>Avstånd</t>
  </si>
  <si>
    <t>Antal</t>
  </si>
  <si>
    <t>Kommersiell yta</t>
  </si>
  <si>
    <t>Transporttid</t>
  </si>
  <si>
    <t>Trivselenkät</t>
  </si>
  <si>
    <t>Omsättning</t>
  </si>
  <si>
    <t>Ålder</t>
  </si>
  <si>
    <t>Hushåll</t>
  </si>
  <si>
    <t>Bostadsform</t>
  </si>
  <si>
    <t>Inkomst</t>
  </si>
  <si>
    <t>Simhall</t>
  </si>
  <si>
    <t>Sporthall</t>
  </si>
  <si>
    <t>Hållplats</t>
  </si>
  <si>
    <t>Frekvens</t>
  </si>
  <si>
    <t>Trafiktyp</t>
  </si>
  <si>
    <t>Kategori</t>
  </si>
  <si>
    <t>Trivsel</t>
  </si>
  <si>
    <t>Rekommendation</t>
  </si>
  <si>
    <t>Skala 0-10</t>
  </si>
  <si>
    <t>Framtidstro</t>
  </si>
  <si>
    <t>Arkitektur</t>
  </si>
  <si>
    <t>Poäng</t>
  </si>
  <si>
    <t>Funktion</t>
  </si>
  <si>
    <t>Kultur</t>
  </si>
  <si>
    <t>Närhet</t>
  </si>
  <si>
    <t>Utrustningsnivå</t>
  </si>
  <si>
    <t>Grannkontakt</t>
  </si>
  <si>
    <t>Aktiviteter</t>
  </si>
  <si>
    <t>Antal/månad</t>
  </si>
  <si>
    <t>Gemenskap</t>
  </si>
  <si>
    <t>Återflyttare</t>
  </si>
  <si>
    <t>Fasad</t>
  </si>
  <si>
    <t>Tak</t>
  </si>
  <si>
    <t>Höjd</t>
  </si>
  <si>
    <t>Klimat</t>
  </si>
  <si>
    <t>Material</t>
  </si>
  <si>
    <t>Tradition</t>
  </si>
  <si>
    <t>Plats</t>
  </si>
  <si>
    <t>Dygnsaktivitet</t>
  </si>
  <si>
    <t>Timmar</t>
  </si>
  <si>
    <t>Användargrupper</t>
  </si>
  <si>
    <t>Täckning</t>
  </si>
  <si>
    <t>Gångstråk</t>
  </si>
  <si>
    <t>Närbutik</t>
  </si>
  <si>
    <t>Källor</t>
  </si>
  <si>
    <t>Ljudnivå</t>
  </si>
  <si>
    <t>dB</t>
  </si>
  <si>
    <t>Normaliserat värde</t>
  </si>
  <si>
    <t>Viktat värde</t>
  </si>
  <si>
    <t>Vikt(%)</t>
  </si>
  <si>
    <t>ggr/vecka</t>
  </si>
  <si>
    <t>Totalt</t>
  </si>
  <si>
    <t>Fordonshastighet</t>
  </si>
  <si>
    <t>km/h</t>
  </si>
  <si>
    <t>Hastighet omkringliggande gator</t>
  </si>
  <si>
    <t>Avstånd till ÅV-station</t>
  </si>
  <si>
    <t>Antal/år</t>
  </si>
  <si>
    <t>Inom 2km radie, procentandel grönyta</t>
  </si>
  <si>
    <t>Andel av vägnät inom 2 km anpassade för gångtrafik</t>
  </si>
  <si>
    <t>Nyinflyttning</t>
  </si>
  <si>
    <t>Årlig nyinfflyttning</t>
  </si>
  <si>
    <t>Årlig omsättning/omflyttning</t>
  </si>
  <si>
    <t>Procent åldersspridning</t>
  </si>
  <si>
    <t>0-100% där 100% är optimal åldersspridning</t>
  </si>
  <si>
    <t>Boendeformer</t>
  </si>
  <si>
    <t>Hushållstyper</t>
  </si>
  <si>
    <t>Antal olika hushållstyper, max 6</t>
  </si>
  <si>
    <t>Index</t>
  </si>
  <si>
    <t>Avgångar/tim</t>
  </si>
  <si>
    <t>Frekvens avgångar/tim</t>
  </si>
  <si>
    <t>Expertbedömning, 1-100</t>
  </si>
  <si>
    <t>Antal inom radie 2 km</t>
  </si>
  <si>
    <t>0-20</t>
  </si>
  <si>
    <t xml:space="preserve">Antal åldersgrupper som deltar i aktiviteter, 0-15, 15-25, 25-40, 40-60, 60-75, 75+ </t>
  </si>
  <si>
    <t>Optimalt värde</t>
  </si>
  <si>
    <t>Max/referensvärde</t>
  </si>
  <si>
    <t>Logik</t>
  </si>
  <si>
    <t>Max</t>
  </si>
  <si>
    <t>Opt</t>
  </si>
  <si>
    <t>Min</t>
  </si>
  <si>
    <t>Stormarknad</t>
  </si>
  <si>
    <t>Resultat</t>
  </si>
  <si>
    <t>Maxpoäng</t>
  </si>
  <si>
    <t>Projekt/plats/samhälle</t>
  </si>
  <si>
    <t>Projektnamn</t>
  </si>
  <si>
    <t>Avstånd till närmaste torg</t>
  </si>
  <si>
    <t>Avstånd till närmaste park</t>
  </si>
  <si>
    <t>Avstånd till närmaste fritidsgård</t>
  </si>
  <si>
    <t>Avstånd till närmaste återvinningsstation</t>
  </si>
  <si>
    <t>Upplevs det som rent?</t>
  </si>
  <si>
    <t>Hur ofta städas gatorna?</t>
  </si>
  <si>
    <t>Hur ofta töms papperskorgar?</t>
  </si>
  <si>
    <t>Anmälda brott i lokalsamhället/mikrosamhället</t>
  </si>
  <si>
    <t>Avstånd till närmaste postombud</t>
  </si>
  <si>
    <t>Avstånd till affärer för shopping (kläder etc.)</t>
  </si>
  <si>
    <t>Förskola</t>
  </si>
  <si>
    <t>Avstånd till närmaste förskola</t>
  </si>
  <si>
    <t>Avstånd till närmaste skola</t>
  </si>
  <si>
    <t>Grönytekvalitet, enkät</t>
  </si>
  <si>
    <t>Avstånd till närmaste lokal</t>
  </si>
  <si>
    <t>Antal föreninar inom 2km</t>
  </si>
  <si>
    <t>Aktiva leverantörer som leverarar i området (Uber, DHL, Postnord, etc.)</t>
  </si>
  <si>
    <t>Avstånd till närmaste närbutik</t>
  </si>
  <si>
    <t>Avstånd till närmaste stormarknad</t>
  </si>
  <si>
    <t>Tillgång till möjligheten att välja energikälla (kraftmix, fjärrvärme, etc.)</t>
  </si>
  <si>
    <t>Medelvärde bullernivå utomhus dagtid</t>
  </si>
  <si>
    <t>Andel av bottenvåning i området med kommersiella inslag</t>
  </si>
  <si>
    <t>Yta upp till 200m</t>
  </si>
  <si>
    <t>Yta upp till500m</t>
  </si>
  <si>
    <t>Yta 1000m eller större</t>
  </si>
  <si>
    <t>500 kvm inom 5 km</t>
  </si>
  <si>
    <t>200 kvm inom 5 km</t>
  </si>
  <si>
    <t>1000 kvm eller mer inom 5 km</t>
  </si>
  <si>
    <t>Till närmaste restaurang</t>
  </si>
  <si>
    <t>Bedömning god mix (poäng), 1-5 där 5 är maxpoäng</t>
  </si>
  <si>
    <t>Bedömd inkomstspridning 1-5 där 5 är maxpoäng (dvs optimat inkomstspridning)</t>
  </si>
  <si>
    <t>Avstånd till närmaste simhall</t>
  </si>
  <si>
    <t>Avstånd till närmaste sporthall</t>
  </si>
  <si>
    <t>Avstånd till närmaste hållplats</t>
  </si>
  <si>
    <t>3=Spår, 2=BRT, 1=Buss (BRT=Bus Rapid Transport, bussfiler, speciella avgångar i rusning)</t>
  </si>
  <si>
    <t>Enkätsvar, betyg</t>
  </si>
  <si>
    <t>Avstånd till närmaste lekplats</t>
  </si>
  <si>
    <t>Antal lekplatser inom 2 km</t>
  </si>
  <si>
    <t>Hur många grannar känner man vid namn</t>
  </si>
  <si>
    <t>Hur ofta anordnas aktiviteter i området?</t>
  </si>
  <si>
    <t>Enkätsvar, upplevd gemenskap</t>
  </si>
  <si>
    <t>Enkätsvar, skulle du rekommendera platsen till andra?</t>
  </si>
  <si>
    <t>Hur stor andel av inflyttade har bott här (eller i närheten) tidigare?</t>
  </si>
  <si>
    <t>Enhetlighet, expertbedömning</t>
  </si>
  <si>
    <t>Anpassningsgrad, 0-100, riskbedömning av expert</t>
  </si>
  <si>
    <t>Andel återbrukat, bedömning</t>
  </si>
  <si>
    <t>Aktiva timmar, 0-24 (exvis enbart bostäder är aktivt morgon, kväll och helg)</t>
  </si>
  <si>
    <t>Åldersspridning, hushållstyper, bostadsform</t>
  </si>
  <si>
    <t>Rekommendationsskala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</si>
</sst>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0000_-;\-* #,##0.00000000_-;_-* &quot;-&quot;??_-;_-@_-"/>
    <numFmt numFmtId="171" formatCode="_-* #,##0.000000\ _k_r_-;\-* #,##0.000000\ _k_r_-;_-* &quot;-&quot;??\ _k_r_-;_-@_-"/>
  </numFmts>
  <fonts count="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Cormorant Regular"/>
    </font>
    <font>
      <sz val="12"/>
      <color theme="1"/>
      <name val="Cormorant Regular"/>
    </font>
    <font>
      <b/>
      <sz val="14"/>
      <color theme="1"/>
      <name val="Cormorant Regula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43" fontId="2" fillId="0" borderId="0" xfId="1" applyFont="1" applyAlignment="1">
      <alignment horizontal="center" vertical="center"/>
    </xf>
    <xf numFmtId="164" fontId="3" fillId="0" borderId="0" xfId="1" applyNumberFormat="1" applyFont="1"/>
    <xf numFmtId="171" fontId="3" fillId="0" borderId="0" xfId="0" applyNumberFormat="1" applyFont="1"/>
    <xf numFmtId="43" fontId="3" fillId="0" borderId="0" xfId="1" applyFont="1" applyAlignment="1">
      <alignment horizontal="center" vertical="center"/>
    </xf>
    <xf numFmtId="43" fontId="3" fillId="0" borderId="0" xfId="1" applyFont="1"/>
    <xf numFmtId="43" fontId="3" fillId="0" borderId="0" xfId="1" applyFont="1" applyAlignment="1">
      <alignment horizontal="center" vertical="center"/>
    </xf>
    <xf numFmtId="0" fontId="3" fillId="3" borderId="0" xfId="0" applyFont="1" applyFill="1"/>
    <xf numFmtId="43" fontId="3" fillId="3" borderId="0" xfId="0" applyNumberFormat="1" applyFont="1" applyFill="1"/>
    <xf numFmtId="0" fontId="3" fillId="4" borderId="0" xfId="0" applyFont="1" applyFill="1"/>
    <xf numFmtId="0" fontId="3" fillId="2" borderId="0" xfId="0" applyFont="1" applyFill="1"/>
    <xf numFmtId="0" fontId="3" fillId="2" borderId="1" xfId="0" applyFont="1" applyFill="1" applyBorder="1"/>
    <xf numFmtId="0" fontId="3" fillId="5" borderId="1" xfId="0" applyFont="1" applyFill="1" applyBorder="1"/>
    <xf numFmtId="0" fontId="4" fillId="2" borderId="0" xfId="0" applyFont="1" applyFill="1"/>
  </cellXfs>
  <cellStyles count="2">
    <cellStyle name="Normal" xfId="0" builtinId="0"/>
    <cellStyle name="Tusenta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Resultat!$B$1</c:f>
              <c:strCache>
                <c:ptCount val="1"/>
                <c:pt idx="0">
                  <c:v>Resultat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Resultat!$A$2:$A$31</c:f>
              <c:strCache>
                <c:ptCount val="30"/>
                <c:pt idx="0">
                  <c:v> Rent </c:v>
                </c:pt>
                <c:pt idx="1">
                  <c:v> Möjlighet att mötas </c:v>
                </c:pt>
                <c:pt idx="2">
                  <c:v> Igenkänning </c:v>
                </c:pt>
                <c:pt idx="3">
                  <c:v> Trygghet </c:v>
                </c:pt>
                <c:pt idx="4">
                  <c:v> Service </c:v>
                </c:pt>
                <c:pt idx="5">
                  <c:v> Utbildning </c:v>
                </c:pt>
                <c:pt idx="6">
                  <c:v> Barfota </c:v>
                </c:pt>
                <c:pt idx="7">
                  <c:v> Föreningsliv </c:v>
                </c:pt>
                <c:pt idx="8">
                  <c:v> Leveranser </c:v>
                </c:pt>
                <c:pt idx="9">
                  <c:v> Variation gator </c:v>
                </c:pt>
                <c:pt idx="10">
                  <c:v> Livsmedel </c:v>
                </c:pt>
                <c:pt idx="11">
                  <c:v> Kraftmix </c:v>
                </c:pt>
                <c:pt idx="12">
                  <c:v> Stress </c:v>
                </c:pt>
                <c:pt idx="13">
                  <c:v> Levande bottenvån </c:v>
                </c:pt>
                <c:pt idx="14">
                  <c:v> Spontanidrott </c:v>
                </c:pt>
                <c:pt idx="15">
                  <c:v> Restauranger </c:v>
                </c:pt>
                <c:pt idx="16">
                  <c:v> Vänlighet </c:v>
                </c:pt>
                <c:pt idx="17">
                  <c:v> Respekt </c:v>
                </c:pt>
                <c:pt idx="18">
                  <c:v> Inomhussport </c:v>
                </c:pt>
                <c:pt idx="19">
                  <c:v> Kollektivtrafik </c:v>
                </c:pt>
                <c:pt idx="20">
                  <c:v> Självskattning </c:v>
                </c:pt>
                <c:pt idx="21">
                  <c:v> Unikitet </c:v>
                </c:pt>
                <c:pt idx="22">
                  <c:v> Lekplatser </c:v>
                </c:pt>
                <c:pt idx="23">
                  <c:v> Meningsfulla kontakter </c:v>
                </c:pt>
                <c:pt idx="24">
                  <c:v> Stolthet </c:v>
                </c:pt>
                <c:pt idx="25">
                  <c:v> Återflyttningsgrad </c:v>
                </c:pt>
                <c:pt idx="26">
                  <c:v> Likriktning </c:v>
                </c:pt>
                <c:pt idx="27">
                  <c:v> Lokal arkitektur </c:v>
                </c:pt>
                <c:pt idx="28">
                  <c:v> Återbruksgrad </c:v>
                </c:pt>
                <c:pt idx="29">
                  <c:v> Blandad bebyggelse </c:v>
                </c:pt>
              </c:strCache>
            </c:strRef>
          </c:cat>
          <c:val>
            <c:numRef>
              <c:f>Resultat!$B$2:$B$31</c:f>
              <c:numCache>
                <c:formatCode>_(* #,##0.00_);_(* \(#,##0.00\);_(* "-"??_);_(@_)</c:formatCode>
                <c:ptCount val="30"/>
                <c:pt idx="0">
                  <c:v>0.75571428571428567</c:v>
                </c:pt>
                <c:pt idx="1">
                  <c:v>0.96800000000000008</c:v>
                </c:pt>
                <c:pt idx="2">
                  <c:v>0.9</c:v>
                </c:pt>
                <c:pt idx="3">
                  <c:v>0.84850000000000003</c:v>
                </c:pt>
                <c:pt idx="4">
                  <c:v>0.95769557823129259</c:v>
                </c:pt>
                <c:pt idx="5">
                  <c:v>0.5</c:v>
                </c:pt>
                <c:pt idx="6">
                  <c:v>0.57499999999999996</c:v>
                </c:pt>
                <c:pt idx="7">
                  <c:v>0.87397959183673468</c:v>
                </c:pt>
                <c:pt idx="8">
                  <c:v>0.8</c:v>
                </c:pt>
                <c:pt idx="9">
                  <c:v>0.12</c:v>
                </c:pt>
                <c:pt idx="10">
                  <c:v>0.90666266506602633</c:v>
                </c:pt>
                <c:pt idx="11">
                  <c:v>0.3</c:v>
                </c:pt>
                <c:pt idx="12">
                  <c:v>0.81249999999999989</c:v>
                </c:pt>
                <c:pt idx="13">
                  <c:v>0.03</c:v>
                </c:pt>
                <c:pt idx="14">
                  <c:v>0.2</c:v>
                </c:pt>
                <c:pt idx="15">
                  <c:v>0.8666666666666667</c:v>
                </c:pt>
                <c:pt idx="16">
                  <c:v>0.96</c:v>
                </c:pt>
                <c:pt idx="17">
                  <c:v>0.60499999999999998</c:v>
                </c:pt>
                <c:pt idx="18">
                  <c:v>0.79999999999999993</c:v>
                </c:pt>
                <c:pt idx="19">
                  <c:v>0.74399999999999999</c:v>
                </c:pt>
                <c:pt idx="20">
                  <c:v>0.80000000000000016</c:v>
                </c:pt>
                <c:pt idx="21">
                  <c:v>0.69000000000000006</c:v>
                </c:pt>
                <c:pt idx="22">
                  <c:v>0.85003039513677814</c:v>
                </c:pt>
                <c:pt idx="23">
                  <c:v>0.34499999999999997</c:v>
                </c:pt>
                <c:pt idx="24">
                  <c:v>0.5</c:v>
                </c:pt>
                <c:pt idx="25">
                  <c:v>0.4</c:v>
                </c:pt>
                <c:pt idx="26">
                  <c:v>0.88749999999999996</c:v>
                </c:pt>
                <c:pt idx="27">
                  <c:v>0.83300000000000007</c:v>
                </c:pt>
                <c:pt idx="28">
                  <c:v>0.25</c:v>
                </c:pt>
                <c:pt idx="29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8-BA48-817E-1EE92849DA20}"/>
            </c:ext>
          </c:extLst>
        </c:ser>
        <c:ser>
          <c:idx val="1"/>
          <c:order val="1"/>
          <c:tx>
            <c:strRef>
              <c:f>Resultat!$C$1</c:f>
              <c:strCache>
                <c:ptCount val="1"/>
                <c:pt idx="0">
                  <c:v>Maxpoäng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Resultat!$A$2:$A$31</c:f>
              <c:strCache>
                <c:ptCount val="30"/>
                <c:pt idx="0">
                  <c:v> Rent </c:v>
                </c:pt>
                <c:pt idx="1">
                  <c:v> Möjlighet att mötas </c:v>
                </c:pt>
                <c:pt idx="2">
                  <c:v> Igenkänning </c:v>
                </c:pt>
                <c:pt idx="3">
                  <c:v> Trygghet </c:v>
                </c:pt>
                <c:pt idx="4">
                  <c:v> Service </c:v>
                </c:pt>
                <c:pt idx="5">
                  <c:v> Utbildning </c:v>
                </c:pt>
                <c:pt idx="6">
                  <c:v> Barfota </c:v>
                </c:pt>
                <c:pt idx="7">
                  <c:v> Föreningsliv </c:v>
                </c:pt>
                <c:pt idx="8">
                  <c:v> Leveranser </c:v>
                </c:pt>
                <c:pt idx="9">
                  <c:v> Variation gator </c:v>
                </c:pt>
                <c:pt idx="10">
                  <c:v> Livsmedel </c:v>
                </c:pt>
                <c:pt idx="11">
                  <c:v> Kraftmix </c:v>
                </c:pt>
                <c:pt idx="12">
                  <c:v> Stress </c:v>
                </c:pt>
                <c:pt idx="13">
                  <c:v> Levande bottenvån </c:v>
                </c:pt>
                <c:pt idx="14">
                  <c:v> Spontanidrott </c:v>
                </c:pt>
                <c:pt idx="15">
                  <c:v> Restauranger </c:v>
                </c:pt>
                <c:pt idx="16">
                  <c:v> Vänlighet </c:v>
                </c:pt>
                <c:pt idx="17">
                  <c:v> Respekt </c:v>
                </c:pt>
                <c:pt idx="18">
                  <c:v> Inomhussport </c:v>
                </c:pt>
                <c:pt idx="19">
                  <c:v> Kollektivtrafik </c:v>
                </c:pt>
                <c:pt idx="20">
                  <c:v> Självskattning </c:v>
                </c:pt>
                <c:pt idx="21">
                  <c:v> Unikitet </c:v>
                </c:pt>
                <c:pt idx="22">
                  <c:v> Lekplatser </c:v>
                </c:pt>
                <c:pt idx="23">
                  <c:v> Meningsfulla kontakter </c:v>
                </c:pt>
                <c:pt idx="24">
                  <c:v> Stolthet </c:v>
                </c:pt>
                <c:pt idx="25">
                  <c:v> Återflyttningsgrad </c:v>
                </c:pt>
                <c:pt idx="26">
                  <c:v> Likriktning </c:v>
                </c:pt>
                <c:pt idx="27">
                  <c:v> Lokal arkitektur </c:v>
                </c:pt>
                <c:pt idx="28">
                  <c:v> Återbruksgrad </c:v>
                </c:pt>
                <c:pt idx="29">
                  <c:v> Blandad bebyggelse </c:v>
                </c:pt>
              </c:strCache>
            </c:strRef>
          </c:cat>
          <c:val>
            <c:numRef>
              <c:f>Resultat!$C$2:$C$31</c:f>
            </c:numRef>
          </c:val>
          <c:extLst>
            <c:ext xmlns:c16="http://schemas.microsoft.com/office/drawing/2014/chart" uri="{C3380CC4-5D6E-409C-BE32-E72D297353CC}">
              <c16:uniqueId val="{00000001-41E8-BA48-817E-1EE92849D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7843904"/>
        <c:axId val="1647851072"/>
      </c:radarChart>
      <c:catAx>
        <c:axId val="164784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647851072"/>
        <c:crosses val="autoZero"/>
        <c:auto val="1"/>
        <c:lblAlgn val="ctr"/>
        <c:lblOffset val="100"/>
        <c:noMultiLvlLbl val="0"/>
      </c:catAx>
      <c:valAx>
        <c:axId val="16478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64784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101600</xdr:colOff>
      <xdr:row>0</xdr:row>
      <xdr:rowOff>63500</xdr:rowOff>
    </xdr:from>
    <xdr:to>
      <xdr:col>16</xdr:col>
      <xdr:colOff>342900</xdr:colOff>
      <xdr:row>31</xdr:row>
      <xdr:rowOff>38100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F0C40CD0-B7CC-5A77-77B9-3ABE1E387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380A-412A-7447-BE5B-84CBF7C2CD0C}">
  <sheetPr codeName="Blad2"/>
  <dimension ref="A1:C34"/>
  <sheetViews>
    <sheetView tabSelected="1" zoomScale="125" workbookViewId="0">
      <selection activeCell="C6" sqref="C6"/>
    </sheetView>
  </sheetViews>
  <sheetFormatPr baseColWidth="10" defaultRowHeight="16"/>
  <cols>
    <col min="1" max="1" width="25.1640625" style="2" customWidth="1"/>
    <col min="2" max="2" width="37.5" style="2" bestFit="1" customWidth="1"/>
    <col min="3" max="3" width="57.6640625" style="2" customWidth="1"/>
    <col min="4" max="16384" width="10.83203125" style="2"/>
  </cols>
  <sheetData>
    <row r="1" spans="1:3">
      <c r="A1" s="1" t="s">
        <v>202</v>
      </c>
    </row>
    <row r="2" spans="1:3">
      <c r="A2" s="13" t="s">
        <v>203</v>
      </c>
    </row>
    <row r="4" spans="1:3" s="1" customFormat="1">
      <c r="A4" s="1" t="s">
        <v>2</v>
      </c>
      <c r="B4" s="1" t="s">
        <v>3</v>
      </c>
      <c r="C4" s="1" t="s">
        <v>1</v>
      </c>
    </row>
    <row r="5" spans="1:3">
      <c r="A5" s="2" t="s">
        <v>0</v>
      </c>
      <c r="B5" s="2" t="s">
        <v>4</v>
      </c>
      <c r="C5" s="2" t="s">
        <v>5</v>
      </c>
    </row>
    <row r="6" spans="1:3">
      <c r="A6" s="2" t="s">
        <v>6</v>
      </c>
      <c r="B6" s="2" t="s">
        <v>7</v>
      </c>
      <c r="C6" s="2" t="s">
        <v>8</v>
      </c>
    </row>
    <row r="7" spans="1:3">
      <c r="A7" s="2" t="s">
        <v>9</v>
      </c>
      <c r="B7" s="2" t="s">
        <v>10</v>
      </c>
      <c r="C7" s="2" t="s">
        <v>11</v>
      </c>
    </row>
    <row r="8" spans="1:3">
      <c r="A8" s="2" t="s">
        <v>12</v>
      </c>
      <c r="B8" s="2" t="s">
        <v>13</v>
      </c>
      <c r="C8" s="2" t="s">
        <v>14</v>
      </c>
    </row>
    <row r="9" spans="1:3">
      <c r="A9" s="2" t="s">
        <v>15</v>
      </c>
      <c r="B9" s="2" t="s">
        <v>16</v>
      </c>
      <c r="C9" s="2" t="s">
        <v>17</v>
      </c>
    </row>
    <row r="10" spans="1:3">
      <c r="A10" s="2" t="s">
        <v>18</v>
      </c>
      <c r="B10" s="2" t="s">
        <v>19</v>
      </c>
      <c r="C10" s="2" t="s">
        <v>20</v>
      </c>
    </row>
    <row r="11" spans="1:3">
      <c r="A11" s="2" t="s">
        <v>21</v>
      </c>
      <c r="B11" s="2" t="s">
        <v>22</v>
      </c>
      <c r="C11" s="2" t="s">
        <v>23</v>
      </c>
    </row>
    <row r="12" spans="1:3">
      <c r="A12" s="2" t="s">
        <v>24</v>
      </c>
      <c r="B12" s="2" t="s">
        <v>25</v>
      </c>
      <c r="C12" s="2" t="s">
        <v>26</v>
      </c>
    </row>
    <row r="13" spans="1:3">
      <c r="A13" s="2" t="s">
        <v>27</v>
      </c>
      <c r="B13" s="2" t="s">
        <v>28</v>
      </c>
      <c r="C13" s="2" t="s">
        <v>29</v>
      </c>
    </row>
    <row r="14" spans="1:3">
      <c r="A14" s="2" t="s">
        <v>30</v>
      </c>
      <c r="B14" s="2" t="s">
        <v>31</v>
      </c>
      <c r="C14" s="2" t="s">
        <v>32</v>
      </c>
    </row>
    <row r="15" spans="1:3">
      <c r="A15" s="2" t="s">
        <v>33</v>
      </c>
      <c r="B15" s="2" t="s">
        <v>34</v>
      </c>
      <c r="C15" s="2" t="s">
        <v>35</v>
      </c>
    </row>
    <row r="16" spans="1:3">
      <c r="A16" s="2" t="s">
        <v>36</v>
      </c>
      <c r="B16" s="2" t="s">
        <v>37</v>
      </c>
      <c r="C16" s="2" t="s">
        <v>38</v>
      </c>
    </row>
    <row r="17" spans="1:3">
      <c r="A17" s="2" t="s">
        <v>39</v>
      </c>
      <c r="B17" s="2" t="s">
        <v>40</v>
      </c>
      <c r="C17" s="2" t="s">
        <v>41</v>
      </c>
    </row>
    <row r="18" spans="1:3">
      <c r="A18" s="2" t="s">
        <v>42</v>
      </c>
      <c r="B18" s="2" t="s">
        <v>43</v>
      </c>
      <c r="C18" s="2" t="s">
        <v>44</v>
      </c>
    </row>
    <row r="19" spans="1:3">
      <c r="A19" s="2" t="s">
        <v>45</v>
      </c>
      <c r="B19" s="2" t="s">
        <v>46</v>
      </c>
      <c r="C19" s="2" t="s">
        <v>47</v>
      </c>
    </row>
    <row r="20" spans="1:3">
      <c r="A20" s="2" t="s">
        <v>48</v>
      </c>
      <c r="B20" s="2" t="s">
        <v>49</v>
      </c>
      <c r="C20" s="2" t="s">
        <v>50</v>
      </c>
    </row>
    <row r="21" spans="1:3">
      <c r="A21" s="2" t="s">
        <v>51</v>
      </c>
      <c r="B21" s="2" t="s">
        <v>52</v>
      </c>
      <c r="C21" s="2" t="s">
        <v>53</v>
      </c>
    </row>
    <row r="22" spans="1:3">
      <c r="A22" s="2" t="s">
        <v>54</v>
      </c>
      <c r="B22" s="2" t="s">
        <v>55</v>
      </c>
      <c r="C22" s="2" t="s">
        <v>251</v>
      </c>
    </row>
    <row r="23" spans="1:3">
      <c r="A23" s="2" t="s">
        <v>56</v>
      </c>
      <c r="B23" s="2" t="s">
        <v>57</v>
      </c>
      <c r="C23" s="2" t="s">
        <v>58</v>
      </c>
    </row>
    <row r="24" spans="1:3">
      <c r="A24" s="2" t="s">
        <v>59</v>
      </c>
      <c r="B24" s="2" t="s">
        <v>60</v>
      </c>
      <c r="C24" s="2" t="s">
        <v>61</v>
      </c>
    </row>
    <row r="25" spans="1:3">
      <c r="A25" s="2" t="s">
        <v>62</v>
      </c>
      <c r="B25" s="2" t="s">
        <v>63</v>
      </c>
      <c r="C25" s="2" t="s">
        <v>64</v>
      </c>
    </row>
    <row r="26" spans="1:3">
      <c r="A26" s="2" t="s">
        <v>65</v>
      </c>
      <c r="B26" s="2" t="s">
        <v>66</v>
      </c>
      <c r="C26" s="2" t="s">
        <v>67</v>
      </c>
    </row>
    <row r="27" spans="1:3">
      <c r="A27" s="2" t="s">
        <v>68</v>
      </c>
      <c r="B27" s="2" t="s">
        <v>69</v>
      </c>
      <c r="C27" s="2" t="s">
        <v>70</v>
      </c>
    </row>
    <row r="28" spans="1:3">
      <c r="A28" s="2" t="s">
        <v>71</v>
      </c>
      <c r="B28" s="2" t="s">
        <v>72</v>
      </c>
      <c r="C28" s="2" t="s">
        <v>73</v>
      </c>
    </row>
    <row r="29" spans="1:3">
      <c r="A29" s="2" t="s">
        <v>74</v>
      </c>
      <c r="B29" s="2" t="s">
        <v>75</v>
      </c>
      <c r="C29" s="2" t="s">
        <v>252</v>
      </c>
    </row>
    <row r="30" spans="1:3">
      <c r="A30" s="2" t="s">
        <v>76</v>
      </c>
      <c r="B30" s="2" t="s">
        <v>77</v>
      </c>
      <c r="C30" s="2" t="s">
        <v>78</v>
      </c>
    </row>
    <row r="31" spans="1:3">
      <c r="A31" s="2" t="s">
        <v>79</v>
      </c>
      <c r="B31" s="2" t="s">
        <v>80</v>
      </c>
      <c r="C31" s="2" t="s">
        <v>81</v>
      </c>
    </row>
    <row r="32" spans="1:3">
      <c r="A32" s="2" t="s">
        <v>82</v>
      </c>
      <c r="B32" s="2" t="s">
        <v>83</v>
      </c>
      <c r="C32" s="2" t="s">
        <v>84</v>
      </c>
    </row>
    <row r="33" spans="1:3">
      <c r="A33" s="2" t="s">
        <v>85</v>
      </c>
      <c r="B33" s="2" t="s">
        <v>86</v>
      </c>
      <c r="C33" s="2" t="s">
        <v>87</v>
      </c>
    </row>
    <row r="34" spans="1:3">
      <c r="A34" s="2" t="s">
        <v>88</v>
      </c>
      <c r="B34" s="2" t="s">
        <v>89</v>
      </c>
      <c r="C34" s="2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88BE-3D22-3741-95AD-B5CED7BA8802}">
  <sheetPr codeName="Blad3"/>
  <dimension ref="A1:E68"/>
  <sheetViews>
    <sheetView topLeftCell="A25" zoomScale="126" workbookViewId="0">
      <selection activeCell="E68" sqref="E68"/>
    </sheetView>
  </sheetViews>
  <sheetFormatPr baseColWidth="10" defaultRowHeight="16"/>
  <cols>
    <col min="1" max="1" width="19.5" style="14" bestFit="1" customWidth="1"/>
    <col min="2" max="2" width="18.5" style="14" bestFit="1" customWidth="1"/>
    <col min="3" max="3" width="9" style="14" bestFit="1" customWidth="1"/>
    <col min="4" max="4" width="18.83203125" style="14" bestFit="1" customWidth="1"/>
    <col min="5" max="5" width="73.1640625" style="14" bestFit="1" customWidth="1"/>
    <col min="6" max="6" width="33.83203125" style="14" customWidth="1"/>
    <col min="7" max="16384" width="10.83203125" style="14"/>
  </cols>
  <sheetData>
    <row r="1" spans="1:5" s="17" customFormat="1" ht="19">
      <c r="A1" s="17" t="s">
        <v>2</v>
      </c>
      <c r="B1" s="17" t="s">
        <v>91</v>
      </c>
      <c r="C1" s="17" t="s">
        <v>92</v>
      </c>
      <c r="D1" s="17" t="s">
        <v>93</v>
      </c>
      <c r="E1" s="17" t="s">
        <v>94</v>
      </c>
    </row>
    <row r="2" spans="1:5">
      <c r="A2" s="15" t="s">
        <v>0</v>
      </c>
      <c r="B2" s="15" t="s">
        <v>95</v>
      </c>
      <c r="C2" s="16">
        <v>4</v>
      </c>
      <c r="D2" s="15" t="s">
        <v>96</v>
      </c>
      <c r="E2" s="15" t="s">
        <v>208</v>
      </c>
    </row>
    <row r="3" spans="1:5">
      <c r="A3" s="15" t="s">
        <v>0</v>
      </c>
      <c r="B3" s="15" t="s">
        <v>97</v>
      </c>
      <c r="C3" s="16">
        <v>4</v>
      </c>
      <c r="D3" s="15" t="s">
        <v>98</v>
      </c>
      <c r="E3" s="15" t="s">
        <v>209</v>
      </c>
    </row>
    <row r="4" spans="1:5">
      <c r="A4" s="15" t="s">
        <v>0</v>
      </c>
      <c r="B4" s="15" t="s">
        <v>99</v>
      </c>
      <c r="C4" s="16">
        <v>7</v>
      </c>
      <c r="D4" s="15" t="s">
        <v>169</v>
      </c>
      <c r="E4" s="15" t="s">
        <v>210</v>
      </c>
    </row>
    <row r="5" spans="1:5">
      <c r="A5" s="15" t="s">
        <v>0</v>
      </c>
      <c r="B5" s="15" t="s">
        <v>100</v>
      </c>
      <c r="C5" s="16">
        <v>300</v>
      </c>
      <c r="D5" s="15" t="s">
        <v>174</v>
      </c>
      <c r="E5" s="15" t="s">
        <v>207</v>
      </c>
    </row>
    <row r="6" spans="1:5">
      <c r="A6" s="15" t="s">
        <v>6</v>
      </c>
      <c r="B6" s="15" t="s">
        <v>101</v>
      </c>
      <c r="C6" s="16">
        <v>200</v>
      </c>
      <c r="D6" s="15" t="s">
        <v>102</v>
      </c>
      <c r="E6" s="15" t="s">
        <v>204</v>
      </c>
    </row>
    <row r="7" spans="1:5">
      <c r="A7" s="15" t="s">
        <v>6</v>
      </c>
      <c r="B7" s="15" t="s">
        <v>103</v>
      </c>
      <c r="C7" s="16">
        <v>200</v>
      </c>
      <c r="D7" s="15" t="s">
        <v>102</v>
      </c>
      <c r="E7" s="15" t="s">
        <v>205</v>
      </c>
    </row>
    <row r="8" spans="1:5">
      <c r="A8" s="15" t="s">
        <v>6</v>
      </c>
      <c r="B8" s="15" t="s">
        <v>104</v>
      </c>
      <c r="C8" s="16">
        <v>800</v>
      </c>
      <c r="D8" s="15" t="s">
        <v>102</v>
      </c>
      <c r="E8" s="15" t="s">
        <v>206</v>
      </c>
    </row>
    <row r="9" spans="1:5">
      <c r="A9" s="15" t="s">
        <v>9</v>
      </c>
      <c r="B9" s="15" t="s">
        <v>178</v>
      </c>
      <c r="C9" s="16">
        <v>12</v>
      </c>
      <c r="D9" s="15" t="s">
        <v>105</v>
      </c>
      <c r="E9" s="15" t="s">
        <v>179</v>
      </c>
    </row>
    <row r="10" spans="1:5">
      <c r="A10" s="15" t="s">
        <v>9</v>
      </c>
      <c r="B10" s="15" t="s">
        <v>106</v>
      </c>
      <c r="C10" s="16">
        <v>8</v>
      </c>
      <c r="D10" s="15" t="s">
        <v>107</v>
      </c>
      <c r="E10" s="15" t="s">
        <v>108</v>
      </c>
    </row>
    <row r="11" spans="1:5">
      <c r="A11" s="15" t="s">
        <v>12</v>
      </c>
      <c r="B11" s="15" t="s">
        <v>109</v>
      </c>
      <c r="C11" s="16">
        <v>45</v>
      </c>
      <c r="D11" s="15" t="s">
        <v>175</v>
      </c>
      <c r="E11" s="15" t="s">
        <v>211</v>
      </c>
    </row>
    <row r="12" spans="1:5">
      <c r="A12" s="15" t="s">
        <v>12</v>
      </c>
      <c r="B12" s="15" t="s">
        <v>95</v>
      </c>
      <c r="C12" s="16">
        <v>3</v>
      </c>
      <c r="D12" s="15" t="s">
        <v>96</v>
      </c>
      <c r="E12" s="15" t="s">
        <v>110</v>
      </c>
    </row>
    <row r="13" spans="1:5">
      <c r="A13" s="15" t="s">
        <v>15</v>
      </c>
      <c r="B13" s="15" t="s">
        <v>111</v>
      </c>
      <c r="C13" s="16">
        <v>450</v>
      </c>
      <c r="D13" s="15" t="s">
        <v>102</v>
      </c>
      <c r="E13" s="15" t="s">
        <v>212</v>
      </c>
    </row>
    <row r="14" spans="1:5">
      <c r="A14" s="15" t="s">
        <v>15</v>
      </c>
      <c r="B14" s="15" t="s">
        <v>112</v>
      </c>
      <c r="C14" s="16">
        <v>800</v>
      </c>
      <c r="D14" s="15" t="s">
        <v>102</v>
      </c>
      <c r="E14" s="15" t="s">
        <v>213</v>
      </c>
    </row>
    <row r="15" spans="1:5">
      <c r="A15" s="15" t="s">
        <v>15</v>
      </c>
      <c r="B15" s="15" t="s">
        <v>214</v>
      </c>
      <c r="C15" s="16">
        <v>600</v>
      </c>
      <c r="D15" s="15" t="s">
        <v>102</v>
      </c>
      <c r="E15" s="15" t="s">
        <v>215</v>
      </c>
    </row>
    <row r="16" spans="1:5">
      <c r="A16" s="15" t="s">
        <v>15</v>
      </c>
      <c r="B16" s="15" t="s">
        <v>113</v>
      </c>
      <c r="C16" s="16">
        <v>400</v>
      </c>
      <c r="D16" s="15" t="s">
        <v>102</v>
      </c>
      <c r="E16" s="15" t="s">
        <v>216</v>
      </c>
    </row>
    <row r="17" spans="1:5">
      <c r="A17" s="15" t="s">
        <v>18</v>
      </c>
      <c r="B17" s="15" t="s">
        <v>114</v>
      </c>
      <c r="C17" s="16">
        <v>45</v>
      </c>
      <c r="D17" s="15" t="s">
        <v>115</v>
      </c>
      <c r="E17" s="15" t="s">
        <v>116</v>
      </c>
    </row>
    <row r="18" spans="1:5">
      <c r="A18" s="15" t="s">
        <v>21</v>
      </c>
      <c r="B18" s="15" t="s">
        <v>117</v>
      </c>
      <c r="C18" s="16">
        <v>35</v>
      </c>
      <c r="D18" s="15" t="s">
        <v>107</v>
      </c>
      <c r="E18" s="15" t="s">
        <v>176</v>
      </c>
    </row>
    <row r="19" spans="1:5">
      <c r="A19" s="15" t="s">
        <v>21</v>
      </c>
      <c r="B19" s="15" t="s">
        <v>118</v>
      </c>
      <c r="C19" s="16">
        <v>4</v>
      </c>
      <c r="D19" s="15" t="s">
        <v>96</v>
      </c>
      <c r="E19" s="15" t="s">
        <v>217</v>
      </c>
    </row>
    <row r="20" spans="1:5">
      <c r="A20" s="15" t="s">
        <v>24</v>
      </c>
      <c r="B20" s="15" t="s">
        <v>119</v>
      </c>
      <c r="C20" s="16">
        <v>600</v>
      </c>
      <c r="D20" s="15" t="s">
        <v>102</v>
      </c>
      <c r="E20" s="15" t="s">
        <v>218</v>
      </c>
    </row>
    <row r="21" spans="1:5">
      <c r="A21" s="15" t="s">
        <v>24</v>
      </c>
      <c r="B21" s="15" t="s">
        <v>120</v>
      </c>
      <c r="C21" s="16">
        <v>8</v>
      </c>
      <c r="D21" s="15" t="s">
        <v>120</v>
      </c>
      <c r="E21" s="15" t="s">
        <v>219</v>
      </c>
    </row>
    <row r="22" spans="1:5">
      <c r="A22" s="15" t="s">
        <v>27</v>
      </c>
      <c r="B22" s="15" t="s">
        <v>160</v>
      </c>
      <c r="C22" s="16">
        <v>8</v>
      </c>
      <c r="D22" s="15" t="s">
        <v>120</v>
      </c>
      <c r="E22" s="15" t="s">
        <v>220</v>
      </c>
    </row>
    <row r="23" spans="1:5">
      <c r="A23" s="15" t="s">
        <v>30</v>
      </c>
      <c r="B23" s="15" t="s">
        <v>161</v>
      </c>
      <c r="C23" s="16">
        <v>12</v>
      </c>
      <c r="D23" s="15" t="s">
        <v>107</v>
      </c>
      <c r="E23" s="15" t="s">
        <v>177</v>
      </c>
    </row>
    <row r="24" spans="1:5">
      <c r="A24" s="15" t="s">
        <v>33</v>
      </c>
      <c r="B24" s="15" t="s">
        <v>162</v>
      </c>
      <c r="C24" s="16">
        <v>350</v>
      </c>
      <c r="D24" s="15" t="s">
        <v>102</v>
      </c>
      <c r="E24" s="15" t="s">
        <v>221</v>
      </c>
    </row>
    <row r="25" spans="1:5">
      <c r="A25" s="15" t="s">
        <v>33</v>
      </c>
      <c r="B25" s="15" t="s">
        <v>199</v>
      </c>
      <c r="C25" s="16">
        <v>400</v>
      </c>
      <c r="D25" s="15" t="s">
        <v>102</v>
      </c>
      <c r="E25" s="15" t="s">
        <v>222</v>
      </c>
    </row>
    <row r="26" spans="1:5">
      <c r="A26" s="15" t="s">
        <v>36</v>
      </c>
      <c r="B26" s="15" t="s">
        <v>163</v>
      </c>
      <c r="C26" s="16">
        <v>3</v>
      </c>
      <c r="D26" s="15" t="s">
        <v>120</v>
      </c>
      <c r="E26" s="15" t="s">
        <v>223</v>
      </c>
    </row>
    <row r="27" spans="1:5">
      <c r="A27" s="15" t="s">
        <v>39</v>
      </c>
      <c r="B27" s="15" t="s">
        <v>164</v>
      </c>
      <c r="C27" s="16">
        <v>55</v>
      </c>
      <c r="D27" s="15" t="s">
        <v>165</v>
      </c>
      <c r="E27" s="15" t="s">
        <v>224</v>
      </c>
    </row>
    <row r="28" spans="1:5">
      <c r="A28" s="15" t="s">
        <v>39</v>
      </c>
      <c r="B28" s="15" t="s">
        <v>171</v>
      </c>
      <c r="C28" s="16">
        <v>40</v>
      </c>
      <c r="D28" s="15" t="s">
        <v>172</v>
      </c>
      <c r="E28" s="15" t="s">
        <v>173</v>
      </c>
    </row>
    <row r="29" spans="1:5">
      <c r="A29" s="15" t="s">
        <v>42</v>
      </c>
      <c r="B29" s="15" t="s">
        <v>121</v>
      </c>
      <c r="C29" s="16">
        <v>3</v>
      </c>
      <c r="D29" s="15" t="s">
        <v>107</v>
      </c>
      <c r="E29" s="15" t="s">
        <v>225</v>
      </c>
    </row>
    <row r="30" spans="1:5">
      <c r="A30" s="15" t="s">
        <v>45</v>
      </c>
      <c r="B30" s="15" t="s">
        <v>226</v>
      </c>
      <c r="C30" s="16">
        <v>2</v>
      </c>
      <c r="D30" s="15" t="s">
        <v>120</v>
      </c>
      <c r="E30" s="15" t="s">
        <v>230</v>
      </c>
    </row>
    <row r="31" spans="1:5">
      <c r="A31" s="15" t="s">
        <v>45</v>
      </c>
      <c r="B31" s="15" t="s">
        <v>227</v>
      </c>
      <c r="C31" s="16">
        <v>1</v>
      </c>
      <c r="D31" s="15" t="s">
        <v>120</v>
      </c>
      <c r="E31" s="15" t="s">
        <v>229</v>
      </c>
    </row>
    <row r="32" spans="1:5">
      <c r="A32" s="15" t="s">
        <v>45</v>
      </c>
      <c r="B32" s="15" t="s">
        <v>228</v>
      </c>
      <c r="C32" s="16">
        <v>3</v>
      </c>
      <c r="D32" s="15" t="s">
        <v>120</v>
      </c>
      <c r="E32" s="15" t="s">
        <v>231</v>
      </c>
    </row>
    <row r="33" spans="1:5">
      <c r="A33" s="15" t="s">
        <v>48</v>
      </c>
      <c r="B33" s="15" t="s">
        <v>122</v>
      </c>
      <c r="C33" s="16">
        <v>8</v>
      </c>
      <c r="D33" s="15" t="s">
        <v>115</v>
      </c>
      <c r="E33" s="15" t="s">
        <v>232</v>
      </c>
    </row>
    <row r="34" spans="1:5">
      <c r="A34" s="15" t="s">
        <v>51</v>
      </c>
      <c r="B34" s="15" t="s">
        <v>95</v>
      </c>
      <c r="C34" s="16">
        <v>5</v>
      </c>
      <c r="D34" s="15" t="s">
        <v>96</v>
      </c>
      <c r="E34" s="15" t="s">
        <v>123</v>
      </c>
    </row>
    <row r="35" spans="1:5">
      <c r="A35" s="15" t="s">
        <v>51</v>
      </c>
      <c r="B35" s="15" t="s">
        <v>124</v>
      </c>
      <c r="C35" s="16">
        <v>8</v>
      </c>
      <c r="D35" s="15" t="s">
        <v>105</v>
      </c>
      <c r="E35" s="15" t="s">
        <v>180</v>
      </c>
    </row>
    <row r="36" spans="1:5">
      <c r="A36" s="15" t="s">
        <v>54</v>
      </c>
      <c r="B36" s="15" t="s">
        <v>125</v>
      </c>
      <c r="C36" s="16">
        <v>40</v>
      </c>
      <c r="D36" s="15" t="s">
        <v>181</v>
      </c>
      <c r="E36" s="15" t="s">
        <v>182</v>
      </c>
    </row>
    <row r="37" spans="1:5">
      <c r="A37" s="15" t="s">
        <v>54</v>
      </c>
      <c r="B37" s="15" t="s">
        <v>126</v>
      </c>
      <c r="C37" s="16">
        <v>3</v>
      </c>
      <c r="D37" s="15" t="s">
        <v>184</v>
      </c>
      <c r="E37" s="15" t="s">
        <v>185</v>
      </c>
    </row>
    <row r="38" spans="1:5">
      <c r="A38" s="15" t="s">
        <v>54</v>
      </c>
      <c r="B38" s="15" t="s">
        <v>127</v>
      </c>
      <c r="C38" s="16">
        <v>5</v>
      </c>
      <c r="D38" s="15" t="s">
        <v>183</v>
      </c>
      <c r="E38" s="15" t="s">
        <v>233</v>
      </c>
    </row>
    <row r="39" spans="1:5">
      <c r="A39" s="15" t="s">
        <v>54</v>
      </c>
      <c r="B39" s="15" t="s">
        <v>128</v>
      </c>
      <c r="C39" s="16">
        <v>2</v>
      </c>
      <c r="D39" s="15" t="s">
        <v>186</v>
      </c>
      <c r="E39" s="15" t="s">
        <v>234</v>
      </c>
    </row>
    <row r="40" spans="1:5">
      <c r="A40" s="15" t="s">
        <v>56</v>
      </c>
      <c r="B40" s="15" t="s">
        <v>129</v>
      </c>
      <c r="C40" s="16">
        <v>3000</v>
      </c>
      <c r="D40" s="15" t="s">
        <v>102</v>
      </c>
      <c r="E40" s="15" t="s">
        <v>235</v>
      </c>
    </row>
    <row r="41" spans="1:5">
      <c r="A41" s="15" t="s">
        <v>56</v>
      </c>
      <c r="B41" s="15" t="s">
        <v>130</v>
      </c>
      <c r="C41" s="16">
        <v>2000</v>
      </c>
      <c r="D41" s="15" t="s">
        <v>102</v>
      </c>
      <c r="E41" s="15" t="s">
        <v>236</v>
      </c>
    </row>
    <row r="42" spans="1:5">
      <c r="A42" s="15" t="s">
        <v>59</v>
      </c>
      <c r="B42" s="15" t="s">
        <v>131</v>
      </c>
      <c r="C42" s="16">
        <v>280</v>
      </c>
      <c r="D42" s="15" t="s">
        <v>102</v>
      </c>
      <c r="E42" s="15" t="s">
        <v>237</v>
      </c>
    </row>
    <row r="43" spans="1:5">
      <c r="A43" s="15" t="s">
        <v>59</v>
      </c>
      <c r="B43" s="15" t="s">
        <v>132</v>
      </c>
      <c r="C43" s="16">
        <v>2</v>
      </c>
      <c r="D43" s="15" t="s">
        <v>187</v>
      </c>
      <c r="E43" s="15" t="s">
        <v>188</v>
      </c>
    </row>
    <row r="44" spans="1:5">
      <c r="A44" s="15" t="s">
        <v>59</v>
      </c>
      <c r="B44" s="15" t="s">
        <v>133</v>
      </c>
      <c r="C44" s="16">
        <v>1</v>
      </c>
      <c r="D44" s="15" t="s">
        <v>134</v>
      </c>
      <c r="E44" s="15" t="s">
        <v>238</v>
      </c>
    </row>
    <row r="45" spans="1:5">
      <c r="A45" s="15" t="s">
        <v>62</v>
      </c>
      <c r="B45" s="15" t="s">
        <v>135</v>
      </c>
      <c r="C45" s="16">
        <v>4</v>
      </c>
      <c r="D45" s="15" t="s">
        <v>96</v>
      </c>
      <c r="E45" s="15" t="s">
        <v>239</v>
      </c>
    </row>
    <row r="46" spans="1:5">
      <c r="A46" s="15" t="s">
        <v>62</v>
      </c>
      <c r="B46" s="15" t="s">
        <v>136</v>
      </c>
      <c r="C46" s="16">
        <v>9</v>
      </c>
      <c r="D46" s="15" t="s">
        <v>137</v>
      </c>
      <c r="E46" s="15" t="s">
        <v>239</v>
      </c>
    </row>
    <row r="47" spans="1:5">
      <c r="A47" s="15" t="s">
        <v>62</v>
      </c>
      <c r="B47" s="15" t="s">
        <v>138</v>
      </c>
      <c r="C47" s="16">
        <v>3</v>
      </c>
      <c r="D47" s="15" t="s">
        <v>96</v>
      </c>
      <c r="E47" s="15" t="s">
        <v>239</v>
      </c>
    </row>
    <row r="48" spans="1:5">
      <c r="A48" s="15" t="s">
        <v>65</v>
      </c>
      <c r="B48" s="15" t="s">
        <v>139</v>
      </c>
      <c r="C48" s="16">
        <v>75</v>
      </c>
      <c r="D48" s="15" t="s">
        <v>140</v>
      </c>
      <c r="E48" s="15" t="s">
        <v>189</v>
      </c>
    </row>
    <row r="49" spans="1:5">
      <c r="A49" s="15" t="s">
        <v>65</v>
      </c>
      <c r="B49" s="15" t="s">
        <v>141</v>
      </c>
      <c r="C49" s="16">
        <v>60</v>
      </c>
      <c r="D49" s="15" t="s">
        <v>140</v>
      </c>
      <c r="E49" s="15" t="s">
        <v>189</v>
      </c>
    </row>
    <row r="50" spans="1:5">
      <c r="A50" s="15" t="s">
        <v>65</v>
      </c>
      <c r="B50" s="15" t="s">
        <v>142</v>
      </c>
      <c r="C50" s="16">
        <v>70</v>
      </c>
      <c r="D50" s="15" t="s">
        <v>140</v>
      </c>
      <c r="E50" s="15" t="s">
        <v>189</v>
      </c>
    </row>
    <row r="51" spans="1:5">
      <c r="A51" s="15" t="s">
        <v>68</v>
      </c>
      <c r="B51" s="15" t="s">
        <v>143</v>
      </c>
      <c r="C51" s="16">
        <v>250</v>
      </c>
      <c r="D51" s="15" t="s">
        <v>102</v>
      </c>
      <c r="E51" s="15" t="s">
        <v>240</v>
      </c>
    </row>
    <row r="52" spans="1:5">
      <c r="A52" s="15" t="s">
        <v>68</v>
      </c>
      <c r="B52" s="15" t="s">
        <v>118</v>
      </c>
      <c r="C52" s="16">
        <v>4</v>
      </c>
      <c r="D52" s="15" t="s">
        <v>96</v>
      </c>
      <c r="E52" s="15" t="s">
        <v>144</v>
      </c>
    </row>
    <row r="53" spans="1:5">
      <c r="A53" s="15" t="s">
        <v>68</v>
      </c>
      <c r="B53" s="15" t="s">
        <v>190</v>
      </c>
      <c r="C53" s="16">
        <v>2</v>
      </c>
      <c r="D53" s="15" t="s">
        <v>191</v>
      </c>
      <c r="E53" s="15" t="s">
        <v>241</v>
      </c>
    </row>
    <row r="54" spans="1:5">
      <c r="A54" s="15" t="s">
        <v>71</v>
      </c>
      <c r="B54" s="15" t="s">
        <v>145</v>
      </c>
      <c r="C54" s="16">
        <v>7</v>
      </c>
      <c r="D54" s="15" t="s">
        <v>120</v>
      </c>
      <c r="E54" s="15" t="s">
        <v>242</v>
      </c>
    </row>
    <row r="55" spans="1:5">
      <c r="A55" s="15" t="s">
        <v>71</v>
      </c>
      <c r="B55" s="15" t="s">
        <v>146</v>
      </c>
      <c r="C55" s="16">
        <v>3</v>
      </c>
      <c r="D55" s="15" t="s">
        <v>147</v>
      </c>
      <c r="E55" s="15" t="s">
        <v>243</v>
      </c>
    </row>
    <row r="56" spans="1:5">
      <c r="A56" s="15" t="s">
        <v>71</v>
      </c>
      <c r="B56" s="15" t="s">
        <v>148</v>
      </c>
      <c r="C56" s="16">
        <v>2</v>
      </c>
      <c r="D56" s="15" t="s">
        <v>96</v>
      </c>
      <c r="E56" s="15" t="s">
        <v>244</v>
      </c>
    </row>
    <row r="57" spans="1:5">
      <c r="A57" s="15" t="s">
        <v>74</v>
      </c>
      <c r="B57" s="15" t="s">
        <v>136</v>
      </c>
      <c r="C57" s="16">
        <v>5</v>
      </c>
      <c r="D57" s="15" t="s">
        <v>137</v>
      </c>
      <c r="E57" s="15" t="s">
        <v>245</v>
      </c>
    </row>
    <row r="58" spans="1:5">
      <c r="A58" s="15" t="s">
        <v>76</v>
      </c>
      <c r="B58" s="15" t="s">
        <v>149</v>
      </c>
      <c r="C58" s="16">
        <v>40</v>
      </c>
      <c r="D58" s="15" t="s">
        <v>107</v>
      </c>
      <c r="E58" s="15" t="s">
        <v>246</v>
      </c>
    </row>
    <row r="59" spans="1:5">
      <c r="A59" s="15" t="s">
        <v>79</v>
      </c>
      <c r="B59" s="15" t="s">
        <v>150</v>
      </c>
      <c r="C59" s="16">
        <v>85</v>
      </c>
      <c r="D59" s="15" t="s">
        <v>140</v>
      </c>
      <c r="E59" s="15" t="s">
        <v>247</v>
      </c>
    </row>
    <row r="60" spans="1:5">
      <c r="A60" s="15" t="s">
        <v>79</v>
      </c>
      <c r="B60" s="15" t="s">
        <v>151</v>
      </c>
      <c r="C60" s="16">
        <v>90</v>
      </c>
      <c r="D60" s="15" t="s">
        <v>140</v>
      </c>
      <c r="E60" s="15" t="s">
        <v>247</v>
      </c>
    </row>
    <row r="61" spans="1:5">
      <c r="A61" s="15" t="s">
        <v>79</v>
      </c>
      <c r="B61" s="15" t="s">
        <v>152</v>
      </c>
      <c r="C61" s="16">
        <v>95</v>
      </c>
      <c r="D61" s="15" t="s">
        <v>140</v>
      </c>
      <c r="E61" s="15" t="s">
        <v>247</v>
      </c>
    </row>
    <row r="62" spans="1:5">
      <c r="A62" s="15" t="s">
        <v>82</v>
      </c>
      <c r="B62" s="15" t="s">
        <v>153</v>
      </c>
      <c r="C62" s="16">
        <v>80</v>
      </c>
      <c r="D62" s="15" t="s">
        <v>140</v>
      </c>
      <c r="E62" s="15" t="s">
        <v>248</v>
      </c>
    </row>
    <row r="63" spans="1:5">
      <c r="A63" s="15" t="s">
        <v>82</v>
      </c>
      <c r="B63" s="15" t="s">
        <v>154</v>
      </c>
      <c r="C63" s="16">
        <v>87</v>
      </c>
      <c r="D63" s="15" t="s">
        <v>140</v>
      </c>
      <c r="E63" s="15" t="s">
        <v>248</v>
      </c>
    </row>
    <row r="64" spans="1:5">
      <c r="A64" s="15" t="s">
        <v>82</v>
      </c>
      <c r="B64" s="15" t="s">
        <v>155</v>
      </c>
      <c r="C64" s="16">
        <v>81</v>
      </c>
      <c r="D64" s="15" t="s">
        <v>140</v>
      </c>
      <c r="E64" s="15" t="s">
        <v>248</v>
      </c>
    </row>
    <row r="65" spans="1:5">
      <c r="A65" s="15" t="s">
        <v>82</v>
      </c>
      <c r="B65" s="15" t="s">
        <v>156</v>
      </c>
      <c r="C65" s="16">
        <v>85</v>
      </c>
      <c r="D65" s="15" t="s">
        <v>140</v>
      </c>
      <c r="E65" s="15" t="s">
        <v>248</v>
      </c>
    </row>
    <row r="66" spans="1:5">
      <c r="A66" s="15" t="s">
        <v>85</v>
      </c>
      <c r="B66" s="15" t="s">
        <v>154</v>
      </c>
      <c r="C66" s="16">
        <v>25</v>
      </c>
      <c r="D66" s="15" t="s">
        <v>107</v>
      </c>
      <c r="E66" s="15" t="s">
        <v>249</v>
      </c>
    </row>
    <row r="67" spans="1:5">
      <c r="A67" s="15" t="s">
        <v>88</v>
      </c>
      <c r="B67" s="15" t="s">
        <v>157</v>
      </c>
      <c r="C67" s="16">
        <v>16</v>
      </c>
      <c r="D67" s="15" t="s">
        <v>158</v>
      </c>
      <c r="E67" s="15" t="s">
        <v>250</v>
      </c>
    </row>
    <row r="68" spans="1:5">
      <c r="A68" s="15" t="s">
        <v>88</v>
      </c>
      <c r="B68" s="15" t="s">
        <v>159</v>
      </c>
      <c r="C68" s="16">
        <v>4</v>
      </c>
      <c r="D68" s="15" t="s">
        <v>120</v>
      </c>
      <c r="E68" s="15" t="s">
        <v>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9D03E-5302-D94F-AC01-0E48C7A6FC62}">
  <sheetPr codeName="Blad4"/>
  <dimension ref="A1:K68"/>
  <sheetViews>
    <sheetView zoomScale="150" workbookViewId="0">
      <selection activeCell="E38" sqref="E38"/>
    </sheetView>
  </sheetViews>
  <sheetFormatPr baseColWidth="10" defaultRowHeight="16"/>
  <cols>
    <col min="1" max="1" width="19.5" style="2" bestFit="1" customWidth="1"/>
    <col min="2" max="2" width="18.33203125" style="2" bestFit="1" customWidth="1"/>
    <col min="3" max="3" width="8" style="2" bestFit="1" customWidth="1"/>
    <col min="4" max="4" width="7.33203125" style="2" bestFit="1" customWidth="1"/>
    <col min="5" max="5" width="17" style="2" bestFit="1" customWidth="1"/>
    <col min="6" max="6" width="13.5" style="2" bestFit="1" customWidth="1"/>
    <col min="7" max="7" width="5.6640625" style="2" bestFit="1" customWidth="1"/>
    <col min="8" max="8" width="18.5" style="6" bestFit="1" customWidth="1"/>
    <col min="9" max="9" width="12.33203125" style="2" bestFit="1" customWidth="1"/>
    <col min="10" max="10" width="7.1640625" style="9" bestFit="1" customWidth="1"/>
    <col min="11" max="11" width="17.83203125" style="10" bestFit="1" customWidth="1"/>
    <col min="12" max="16384" width="10.83203125" style="2"/>
  </cols>
  <sheetData>
    <row r="1" spans="1:11">
      <c r="A1" s="1" t="s">
        <v>2</v>
      </c>
      <c r="B1" s="1" t="s">
        <v>91</v>
      </c>
      <c r="C1" s="1" t="s">
        <v>92</v>
      </c>
      <c r="D1" s="1" t="s">
        <v>168</v>
      </c>
      <c r="E1" s="1" t="s">
        <v>194</v>
      </c>
      <c r="F1" s="1" t="s">
        <v>193</v>
      </c>
      <c r="G1" s="1" t="s">
        <v>195</v>
      </c>
      <c r="H1" s="3" t="s">
        <v>166</v>
      </c>
      <c r="I1" s="1" t="s">
        <v>167</v>
      </c>
      <c r="J1" s="4" t="s">
        <v>170</v>
      </c>
      <c r="K1" s="5" t="s">
        <v>2</v>
      </c>
    </row>
    <row r="2" spans="1:11">
      <c r="A2" s="2" t="str">
        <f>Indata!A2</f>
        <v>Rent</v>
      </c>
      <c r="B2" s="2" t="str">
        <f>Indata!B2</f>
        <v>Enkät</v>
      </c>
      <c r="C2" s="2">
        <f>Indata!C2</f>
        <v>4</v>
      </c>
      <c r="D2" s="2">
        <v>0.6</v>
      </c>
      <c r="E2" s="2">
        <v>5</v>
      </c>
      <c r="G2" s="2" t="s">
        <v>196</v>
      </c>
      <c r="H2" s="6">
        <f>IF(G2="Max",C2/E2,IF(G2="Min",(E2-C2)/E2,IF(G2="Opt",(1-ABS(C2-F2)/(E2-F2)),"Fel i logik")))</f>
        <v>0.8</v>
      </c>
      <c r="I2" s="7">
        <f>H2*D2</f>
        <v>0.48</v>
      </c>
      <c r="J2" s="8">
        <f>SUM(I2:I5)</f>
        <v>0.75571428571428567</v>
      </c>
      <c r="K2" s="8" t="str">
        <f>A2</f>
        <v>Rent</v>
      </c>
    </row>
    <row r="3" spans="1:11">
      <c r="A3" s="2" t="str">
        <f>Indata!A3</f>
        <v>Rent</v>
      </c>
      <c r="B3" s="2" t="str">
        <f>Indata!B3</f>
        <v>Städfrekvens</v>
      </c>
      <c r="C3" s="2">
        <f>Indata!C3</f>
        <v>4</v>
      </c>
      <c r="D3" s="2">
        <v>0.2</v>
      </c>
      <c r="E3" s="2">
        <v>7</v>
      </c>
      <c r="G3" s="2" t="s">
        <v>196</v>
      </c>
      <c r="H3" s="6">
        <f t="shared" ref="H3:H66" si="0">IF(G3="Max",C3/E3,IF(G3="Min",(E3-C3)/E3,IF(G3="Opt",(1-ABS(C3-F3)/(E3-F3)),"Fel i logik")))</f>
        <v>0.5714285714285714</v>
      </c>
      <c r="I3" s="7">
        <f>H3*D3</f>
        <v>0.11428571428571428</v>
      </c>
      <c r="J3" s="8"/>
      <c r="K3" s="8"/>
    </row>
    <row r="4" spans="1:11">
      <c r="A4" s="2" t="str">
        <f>Indata!A4</f>
        <v>Rent</v>
      </c>
      <c r="B4" s="2" t="str">
        <f>Indata!B4</f>
        <v>Tömning</v>
      </c>
      <c r="C4" s="2">
        <f>Indata!C4</f>
        <v>7</v>
      </c>
      <c r="D4" s="2">
        <v>0.1</v>
      </c>
      <c r="E4" s="2">
        <v>7</v>
      </c>
      <c r="G4" s="2" t="s">
        <v>196</v>
      </c>
      <c r="H4" s="6">
        <f t="shared" si="0"/>
        <v>1</v>
      </c>
      <c r="I4" s="7">
        <f>H4*D4</f>
        <v>0.1</v>
      </c>
      <c r="J4" s="8"/>
      <c r="K4" s="8"/>
    </row>
    <row r="5" spans="1:11">
      <c r="A5" s="2" t="str">
        <f>Indata!A5</f>
        <v>Rent</v>
      </c>
      <c r="B5" s="2" t="str">
        <f>Indata!B5</f>
        <v>Återvinning</v>
      </c>
      <c r="C5" s="2">
        <f>Indata!C5</f>
        <v>300</v>
      </c>
      <c r="D5" s="2">
        <v>0.1</v>
      </c>
      <c r="E5" s="2">
        <v>10000</v>
      </c>
      <c r="F5" s="2">
        <v>3000</v>
      </c>
      <c r="G5" s="2" t="s">
        <v>197</v>
      </c>
      <c r="H5" s="6">
        <f t="shared" si="0"/>
        <v>0.61428571428571432</v>
      </c>
      <c r="I5" s="7">
        <f>H5*D5</f>
        <v>6.1428571428571437E-2</v>
      </c>
      <c r="J5" s="8"/>
      <c r="K5" s="8"/>
    </row>
    <row r="6" spans="1:11">
      <c r="A6" s="2" t="str">
        <f>Indata!A6</f>
        <v>Möjlighet att mötas</v>
      </c>
      <c r="B6" s="2" t="str">
        <f>Indata!B6</f>
        <v>Torg</v>
      </c>
      <c r="C6" s="2">
        <f>Indata!C6</f>
        <v>200</v>
      </c>
      <c r="D6" s="2">
        <v>0.4</v>
      </c>
      <c r="E6" s="2">
        <v>10000</v>
      </c>
      <c r="G6" s="2" t="s">
        <v>197</v>
      </c>
      <c r="H6" s="6">
        <f t="shared" si="0"/>
        <v>0.98</v>
      </c>
      <c r="I6" s="7">
        <f>H6*D6</f>
        <v>0.39200000000000002</v>
      </c>
      <c r="J6" s="8">
        <f>SUM(I6:I8)</f>
        <v>0.96800000000000008</v>
      </c>
      <c r="K6" s="8" t="str">
        <f>A6</f>
        <v>Möjlighet att mötas</v>
      </c>
    </row>
    <row r="7" spans="1:11">
      <c r="A7" s="2" t="str">
        <f>Indata!A7</f>
        <v>Möjlighet att mötas</v>
      </c>
      <c r="B7" s="2" t="str">
        <f>Indata!B7</f>
        <v>Park</v>
      </c>
      <c r="C7" s="2">
        <f>Indata!C7</f>
        <v>200</v>
      </c>
      <c r="D7" s="2">
        <v>0.4</v>
      </c>
      <c r="E7" s="2">
        <v>10000</v>
      </c>
      <c r="G7" s="2" t="s">
        <v>197</v>
      </c>
      <c r="H7" s="6">
        <f t="shared" si="0"/>
        <v>0.98</v>
      </c>
      <c r="I7" s="7">
        <f>H7*D7</f>
        <v>0.39200000000000002</v>
      </c>
      <c r="J7" s="8"/>
      <c r="K7" s="8"/>
    </row>
    <row r="8" spans="1:11">
      <c r="A8" s="2" t="str">
        <f>Indata!A8</f>
        <v>Möjlighet att mötas</v>
      </c>
      <c r="B8" s="2" t="str">
        <f>Indata!B8</f>
        <v>Fritidsgård</v>
      </c>
      <c r="C8" s="2">
        <f>Indata!C8</f>
        <v>800</v>
      </c>
      <c r="D8" s="2">
        <v>0.2</v>
      </c>
      <c r="E8" s="2">
        <v>10000</v>
      </c>
      <c r="G8" s="2" t="s">
        <v>197</v>
      </c>
      <c r="H8" s="6">
        <f t="shared" si="0"/>
        <v>0.92</v>
      </c>
      <c r="I8" s="7">
        <f>H8*D8</f>
        <v>0.18400000000000002</v>
      </c>
      <c r="J8" s="8"/>
      <c r="K8" s="8"/>
    </row>
    <row r="9" spans="1:11">
      <c r="A9" s="2" t="str">
        <f>Indata!A9</f>
        <v>Igenkänning</v>
      </c>
      <c r="B9" s="2" t="str">
        <f>Indata!B9</f>
        <v>Nyinflyttning</v>
      </c>
      <c r="C9" s="2">
        <f>Indata!C9</f>
        <v>12</v>
      </c>
      <c r="D9" s="2">
        <v>0.5</v>
      </c>
      <c r="E9" s="2">
        <v>100</v>
      </c>
      <c r="G9" s="2" t="s">
        <v>198</v>
      </c>
      <c r="H9" s="6">
        <f t="shared" si="0"/>
        <v>0.88</v>
      </c>
      <c r="I9" s="7">
        <f>H9*D9</f>
        <v>0.44</v>
      </c>
      <c r="J9" s="8">
        <f>SUM(I9:I10)</f>
        <v>0.9</v>
      </c>
      <c r="K9" s="8" t="str">
        <f>A9</f>
        <v>Igenkänning</v>
      </c>
    </row>
    <row r="10" spans="1:11">
      <c r="A10" s="2" t="str">
        <f>Indata!A10</f>
        <v>Igenkänning</v>
      </c>
      <c r="B10" s="2" t="str">
        <f>Indata!B10</f>
        <v>Andrahand</v>
      </c>
      <c r="C10" s="2">
        <f>Indata!C10</f>
        <v>8</v>
      </c>
      <c r="D10" s="2">
        <v>0.5</v>
      </c>
      <c r="E10" s="2">
        <v>100</v>
      </c>
      <c r="G10" s="2" t="s">
        <v>198</v>
      </c>
      <c r="H10" s="6">
        <f t="shared" si="0"/>
        <v>0.92</v>
      </c>
      <c r="I10" s="7">
        <f>H10*D10</f>
        <v>0.46</v>
      </c>
      <c r="J10" s="8"/>
      <c r="K10" s="8"/>
    </row>
    <row r="11" spans="1:11">
      <c r="A11" s="2" t="str">
        <f>Indata!A11</f>
        <v>Trygghet</v>
      </c>
      <c r="B11" s="2" t="str">
        <f>Indata!B11</f>
        <v>Brott</v>
      </c>
      <c r="C11" s="2">
        <f>Indata!C11</f>
        <v>45</v>
      </c>
      <c r="D11" s="2">
        <v>0.7</v>
      </c>
      <c r="E11" s="2">
        <v>1000</v>
      </c>
      <c r="G11" s="2" t="s">
        <v>198</v>
      </c>
      <c r="H11" s="6">
        <f t="shared" si="0"/>
        <v>0.95499999999999996</v>
      </c>
      <c r="I11" s="7">
        <f>H11*D11</f>
        <v>0.66849999999999998</v>
      </c>
      <c r="J11" s="8">
        <f>SUM(I11:I12)</f>
        <v>0.84850000000000003</v>
      </c>
      <c r="K11" s="8" t="str">
        <f>A11</f>
        <v>Trygghet</v>
      </c>
    </row>
    <row r="12" spans="1:11">
      <c r="A12" s="2" t="str">
        <f>Indata!A12</f>
        <v>Trygghet</v>
      </c>
      <c r="B12" s="2" t="str">
        <f>Indata!B12</f>
        <v>Enkät</v>
      </c>
      <c r="C12" s="2">
        <f>Indata!C12</f>
        <v>3</v>
      </c>
      <c r="D12" s="2">
        <v>0.3</v>
      </c>
      <c r="E12" s="2">
        <v>5</v>
      </c>
      <c r="G12" s="2" t="s">
        <v>196</v>
      </c>
      <c r="H12" s="6">
        <f t="shared" si="0"/>
        <v>0.6</v>
      </c>
      <c r="I12" s="7">
        <f>H12*D12</f>
        <v>0.18</v>
      </c>
      <c r="J12" s="8"/>
      <c r="K12" s="8"/>
    </row>
    <row r="13" spans="1:11">
      <c r="A13" s="2" t="str">
        <f>Indata!A13</f>
        <v>Service</v>
      </c>
      <c r="B13" s="2" t="str">
        <f>Indata!B13</f>
        <v>Post</v>
      </c>
      <c r="C13" s="2">
        <f>Indata!C13</f>
        <v>450</v>
      </c>
      <c r="D13" s="2">
        <v>0.25</v>
      </c>
      <c r="E13" s="2">
        <v>10000</v>
      </c>
      <c r="F13" s="2">
        <v>200</v>
      </c>
      <c r="G13" s="2" t="s">
        <v>197</v>
      </c>
      <c r="H13" s="6">
        <f t="shared" si="0"/>
        <v>0.97448979591836737</v>
      </c>
      <c r="I13" s="7">
        <f>H13*D13</f>
        <v>0.24362244897959184</v>
      </c>
      <c r="J13" s="8">
        <f>SUM(I13:I16)</f>
        <v>0.95769557823129259</v>
      </c>
      <c r="K13" s="8" t="str">
        <f>A13</f>
        <v>Service</v>
      </c>
    </row>
    <row r="14" spans="1:11">
      <c r="A14" s="2" t="str">
        <f>Indata!A14</f>
        <v>Service</v>
      </c>
      <c r="B14" s="2" t="str">
        <f>Indata!B14</f>
        <v>Shopping</v>
      </c>
      <c r="C14" s="2">
        <f>Indata!C14</f>
        <v>800</v>
      </c>
      <c r="D14" s="2">
        <v>0.25</v>
      </c>
      <c r="E14" s="2">
        <v>10000</v>
      </c>
      <c r="F14" s="2">
        <v>200</v>
      </c>
      <c r="G14" s="2" t="s">
        <v>197</v>
      </c>
      <c r="H14" s="6">
        <f t="shared" si="0"/>
        <v>0.93877551020408168</v>
      </c>
      <c r="I14" s="7">
        <f>H14*D14</f>
        <v>0.23469387755102042</v>
      </c>
      <c r="J14" s="8"/>
      <c r="K14" s="8"/>
    </row>
    <row r="15" spans="1:11">
      <c r="A15" s="2" t="str">
        <f>Indata!A15</f>
        <v>Service</v>
      </c>
      <c r="B15" s="2" t="str">
        <f>Indata!B15</f>
        <v>Förskola</v>
      </c>
      <c r="C15" s="2">
        <f>Indata!C15</f>
        <v>600</v>
      </c>
      <c r="D15" s="2">
        <v>0.25</v>
      </c>
      <c r="E15" s="2">
        <v>10000</v>
      </c>
      <c r="F15" s="2">
        <v>200</v>
      </c>
      <c r="G15" s="2" t="s">
        <v>197</v>
      </c>
      <c r="H15" s="6">
        <f t="shared" si="0"/>
        <v>0.95918367346938771</v>
      </c>
      <c r="I15" s="7">
        <f>H15*D15</f>
        <v>0.23979591836734693</v>
      </c>
      <c r="J15" s="8"/>
      <c r="K15" s="8"/>
    </row>
    <row r="16" spans="1:11">
      <c r="A16" s="2" t="str">
        <f>Indata!A16</f>
        <v>Service</v>
      </c>
      <c r="B16" s="2" t="str">
        <f>Indata!B16</f>
        <v>Skola</v>
      </c>
      <c r="C16" s="2">
        <f>Indata!C16</f>
        <v>400</v>
      </c>
      <c r="D16" s="2">
        <v>0.25</v>
      </c>
      <c r="E16" s="2">
        <v>5000</v>
      </c>
      <c r="F16" s="2">
        <v>200</v>
      </c>
      <c r="G16" s="2" t="s">
        <v>197</v>
      </c>
      <c r="H16" s="6">
        <f t="shared" si="0"/>
        <v>0.95833333333333337</v>
      </c>
      <c r="I16" s="7">
        <f>H16*D16</f>
        <v>0.23958333333333334</v>
      </c>
      <c r="J16" s="8"/>
      <c r="K16" s="8"/>
    </row>
    <row r="17" spans="1:11">
      <c r="A17" s="2" t="str">
        <f>Indata!A17</f>
        <v>Utbildning</v>
      </c>
      <c r="B17" s="2" t="str">
        <f>Indata!B17</f>
        <v>Restid</v>
      </c>
      <c r="C17" s="2">
        <f>Indata!C17</f>
        <v>45</v>
      </c>
      <c r="D17" s="2">
        <v>1</v>
      </c>
      <c r="E17" s="2">
        <v>90</v>
      </c>
      <c r="G17" s="2" t="s">
        <v>198</v>
      </c>
      <c r="H17" s="6">
        <f t="shared" si="0"/>
        <v>0.5</v>
      </c>
      <c r="I17" s="7">
        <f>H17*D17</f>
        <v>0.5</v>
      </c>
      <c r="J17" s="9">
        <f>I17</f>
        <v>0.5</v>
      </c>
      <c r="K17" s="10" t="str">
        <f>A17</f>
        <v>Utbildning</v>
      </c>
    </row>
    <row r="18" spans="1:11">
      <c r="A18" s="2" t="str">
        <f>Indata!A18</f>
        <v>Barfota</v>
      </c>
      <c r="B18" s="2" t="str">
        <f>Indata!B18</f>
        <v>Grönyta</v>
      </c>
      <c r="C18" s="2">
        <f>Indata!C18</f>
        <v>35</v>
      </c>
      <c r="D18" s="2">
        <v>0.5</v>
      </c>
      <c r="E18" s="2">
        <v>100</v>
      </c>
      <c r="G18" s="2" t="s">
        <v>196</v>
      </c>
      <c r="H18" s="6">
        <f t="shared" si="0"/>
        <v>0.35</v>
      </c>
      <c r="I18" s="7">
        <f>H18*D18</f>
        <v>0.17499999999999999</v>
      </c>
      <c r="J18" s="8">
        <f>SUM(I18:I19)</f>
        <v>0.57499999999999996</v>
      </c>
      <c r="K18" s="8" t="str">
        <f>A18</f>
        <v>Barfota</v>
      </c>
    </row>
    <row r="19" spans="1:11">
      <c r="A19" s="2" t="str">
        <f>Indata!A19</f>
        <v>Barfota</v>
      </c>
      <c r="B19" s="2" t="str">
        <f>Indata!B19</f>
        <v>Kvalitet</v>
      </c>
      <c r="C19" s="2">
        <f>Indata!C19</f>
        <v>4</v>
      </c>
      <c r="D19" s="2">
        <v>0.5</v>
      </c>
      <c r="E19" s="2">
        <v>5</v>
      </c>
      <c r="G19" s="2" t="s">
        <v>196</v>
      </c>
      <c r="H19" s="6">
        <f t="shared" si="0"/>
        <v>0.8</v>
      </c>
      <c r="I19" s="7">
        <f>H19*D19</f>
        <v>0.4</v>
      </c>
      <c r="J19" s="8"/>
      <c r="K19" s="8"/>
    </row>
    <row r="20" spans="1:11">
      <c r="A20" s="2" t="str">
        <f>Indata!A20</f>
        <v>Föreningsliv</v>
      </c>
      <c r="B20" s="2" t="str">
        <f>Indata!B20</f>
        <v>Avstånd</v>
      </c>
      <c r="C20" s="2">
        <f>Indata!C20</f>
        <v>600</v>
      </c>
      <c r="D20" s="2">
        <v>0.5</v>
      </c>
      <c r="E20" s="2">
        <v>5000</v>
      </c>
      <c r="F20" s="2">
        <v>100</v>
      </c>
      <c r="G20" s="2" t="s">
        <v>197</v>
      </c>
      <c r="H20" s="6">
        <f t="shared" si="0"/>
        <v>0.89795918367346939</v>
      </c>
      <c r="I20" s="7">
        <f>H20*D20</f>
        <v>0.44897959183673469</v>
      </c>
      <c r="J20" s="8">
        <f>SUM(I20:I21)</f>
        <v>0.87397959183673468</v>
      </c>
      <c r="K20" s="8" t="str">
        <f>A20</f>
        <v>Föreningsliv</v>
      </c>
    </row>
    <row r="21" spans="1:11">
      <c r="A21" s="2" t="str">
        <f>Indata!A21</f>
        <v>Föreningsliv</v>
      </c>
      <c r="B21" s="2" t="str">
        <f>Indata!B21</f>
        <v>Antal</v>
      </c>
      <c r="C21" s="2">
        <f>Indata!C21</f>
        <v>8</v>
      </c>
      <c r="D21" s="2">
        <v>0.5</v>
      </c>
      <c r="E21" s="2">
        <v>100</v>
      </c>
      <c r="F21" s="2">
        <v>20</v>
      </c>
      <c r="G21" s="2" t="s">
        <v>197</v>
      </c>
      <c r="H21" s="6">
        <f t="shared" si="0"/>
        <v>0.85</v>
      </c>
      <c r="I21" s="7">
        <f>H21*D21</f>
        <v>0.42499999999999999</v>
      </c>
      <c r="J21" s="8"/>
      <c r="K21" s="8"/>
    </row>
    <row r="22" spans="1:11">
      <c r="A22" s="2" t="str">
        <f>Indata!A22</f>
        <v>Leveranser</v>
      </c>
      <c r="B22" s="2" t="str">
        <f>Indata!B22</f>
        <v>Täckning</v>
      </c>
      <c r="C22" s="2">
        <f>Indata!C22</f>
        <v>8</v>
      </c>
      <c r="D22" s="2">
        <v>1</v>
      </c>
      <c r="E22" s="2">
        <v>20</v>
      </c>
      <c r="F22" s="2">
        <v>10</v>
      </c>
      <c r="G22" s="2" t="s">
        <v>197</v>
      </c>
      <c r="H22" s="6">
        <f t="shared" si="0"/>
        <v>0.8</v>
      </c>
      <c r="I22" s="7">
        <f>H22*D22</f>
        <v>0.8</v>
      </c>
      <c r="J22" s="9">
        <f>I22</f>
        <v>0.8</v>
      </c>
      <c r="K22" s="10" t="str">
        <f>A22</f>
        <v>Leveranser</v>
      </c>
    </row>
    <row r="23" spans="1:11">
      <c r="A23" s="2" t="str">
        <f>Indata!A23</f>
        <v>Variation gator</v>
      </c>
      <c r="B23" s="2" t="str">
        <f>Indata!B23</f>
        <v>Gångstråk</v>
      </c>
      <c r="C23" s="2">
        <f>Indata!C23</f>
        <v>12</v>
      </c>
      <c r="D23" s="2">
        <v>1</v>
      </c>
      <c r="E23" s="2">
        <v>100</v>
      </c>
      <c r="G23" s="2" t="s">
        <v>196</v>
      </c>
      <c r="H23" s="6">
        <f t="shared" si="0"/>
        <v>0.12</v>
      </c>
      <c r="I23" s="7">
        <f>H23*D23</f>
        <v>0.12</v>
      </c>
      <c r="J23" s="9">
        <f>I23</f>
        <v>0.12</v>
      </c>
      <c r="K23" s="10" t="str">
        <f>A23</f>
        <v>Variation gator</v>
      </c>
    </row>
    <row r="24" spans="1:11">
      <c r="A24" s="2" t="str">
        <f>Indata!A24</f>
        <v>Livsmedel</v>
      </c>
      <c r="B24" s="2" t="str">
        <f>Indata!B24</f>
        <v>Närbutik</v>
      </c>
      <c r="C24" s="2">
        <v>300</v>
      </c>
      <c r="D24" s="2">
        <v>0.5</v>
      </c>
      <c r="E24" s="2">
        <v>10000</v>
      </c>
      <c r="F24" s="2">
        <v>200</v>
      </c>
      <c r="G24" s="2" t="s">
        <v>197</v>
      </c>
      <c r="H24" s="6">
        <f t="shared" si="0"/>
        <v>0.98979591836734693</v>
      </c>
      <c r="I24" s="7">
        <f>H24*D24</f>
        <v>0.49489795918367346</v>
      </c>
      <c r="J24" s="8">
        <f>SUM(I24:I25)</f>
        <v>0.90666266506602633</v>
      </c>
      <c r="K24" s="8" t="str">
        <f>A24</f>
        <v>Livsmedel</v>
      </c>
    </row>
    <row r="25" spans="1:11">
      <c r="A25" s="2" t="str">
        <f>Indata!A25</f>
        <v>Livsmedel</v>
      </c>
      <c r="B25" s="2" t="str">
        <f>Indata!B25</f>
        <v>Stormarknad</v>
      </c>
      <c r="C25" s="2">
        <v>3000</v>
      </c>
      <c r="D25" s="2">
        <v>0.5</v>
      </c>
      <c r="E25" s="2">
        <v>10000</v>
      </c>
      <c r="F25" s="2">
        <v>1500</v>
      </c>
      <c r="G25" s="2" t="s">
        <v>197</v>
      </c>
      <c r="H25" s="6">
        <f t="shared" si="0"/>
        <v>0.82352941176470584</v>
      </c>
      <c r="I25" s="7">
        <f>H25*D25</f>
        <v>0.41176470588235292</v>
      </c>
      <c r="J25" s="8"/>
      <c r="K25" s="8"/>
    </row>
    <row r="26" spans="1:11">
      <c r="A26" s="2" t="str">
        <f>Indata!A26</f>
        <v>Kraftmix</v>
      </c>
      <c r="B26" s="2" t="str">
        <f>Indata!B26</f>
        <v>Källor</v>
      </c>
      <c r="C26" s="2">
        <f>Indata!C26</f>
        <v>3</v>
      </c>
      <c r="D26" s="2">
        <v>1</v>
      </c>
      <c r="E26" s="2">
        <v>10</v>
      </c>
      <c r="G26" s="2" t="s">
        <v>196</v>
      </c>
      <c r="H26" s="6">
        <f t="shared" si="0"/>
        <v>0.3</v>
      </c>
      <c r="I26" s="7">
        <f>H26*D26</f>
        <v>0.3</v>
      </c>
      <c r="J26" s="9">
        <f>I26</f>
        <v>0.3</v>
      </c>
      <c r="K26" s="10" t="str">
        <f>A26</f>
        <v>Kraftmix</v>
      </c>
    </row>
    <row r="27" spans="1:11">
      <c r="A27" s="2" t="str">
        <f>Indata!A27</f>
        <v>Stress</v>
      </c>
      <c r="B27" s="2" t="str">
        <f>Indata!B27</f>
        <v>Ljudnivå</v>
      </c>
      <c r="C27" s="2">
        <f>Indata!C27</f>
        <v>55</v>
      </c>
      <c r="D27" s="2">
        <v>0.7</v>
      </c>
      <c r="E27" s="2">
        <v>90</v>
      </c>
      <c r="F27" s="2">
        <v>50</v>
      </c>
      <c r="G27" s="2" t="s">
        <v>197</v>
      </c>
      <c r="H27" s="6">
        <f t="shared" si="0"/>
        <v>0.875</v>
      </c>
      <c r="I27" s="7">
        <f>H27*D27</f>
        <v>0.61249999999999993</v>
      </c>
      <c r="J27" s="8">
        <f>SUM(I27:I28)</f>
        <v>0.81249999999999989</v>
      </c>
      <c r="K27" s="8" t="str">
        <f>A27</f>
        <v>Stress</v>
      </c>
    </row>
    <row r="28" spans="1:11">
      <c r="A28" s="2" t="s">
        <v>39</v>
      </c>
      <c r="B28" s="2" t="s">
        <v>171</v>
      </c>
      <c r="C28" s="2">
        <f>Indata!C28</f>
        <v>40</v>
      </c>
      <c r="D28" s="2">
        <v>0.3</v>
      </c>
      <c r="E28" s="2">
        <v>120</v>
      </c>
      <c r="G28" s="2" t="s">
        <v>198</v>
      </c>
      <c r="H28" s="6">
        <f t="shared" si="0"/>
        <v>0.66666666666666663</v>
      </c>
      <c r="I28" s="7">
        <f>H28*D28</f>
        <v>0.19999999999999998</v>
      </c>
      <c r="J28" s="8"/>
      <c r="K28" s="8"/>
    </row>
    <row r="29" spans="1:11">
      <c r="A29" s="2" t="str">
        <f>Indata!A29</f>
        <v>Levande bottenvån</v>
      </c>
      <c r="B29" s="2" t="str">
        <f>Indata!B29</f>
        <v>Kommersiell yta</v>
      </c>
      <c r="C29" s="2">
        <f>Indata!C29</f>
        <v>3</v>
      </c>
      <c r="D29" s="2">
        <v>1</v>
      </c>
      <c r="E29" s="2">
        <v>100</v>
      </c>
      <c r="G29" s="2" t="s">
        <v>196</v>
      </c>
      <c r="H29" s="6">
        <f t="shared" si="0"/>
        <v>0.03</v>
      </c>
      <c r="I29" s="7">
        <f>H29*D29</f>
        <v>0.03</v>
      </c>
      <c r="J29" s="9">
        <f>I29</f>
        <v>0.03</v>
      </c>
      <c r="K29" s="10" t="str">
        <f>A29</f>
        <v>Levande bottenvån</v>
      </c>
    </row>
    <row r="30" spans="1:11">
      <c r="A30" s="2" t="str">
        <f>Indata!A30</f>
        <v>Spontanidrott</v>
      </c>
      <c r="B30" s="2" t="str">
        <f>Indata!B30</f>
        <v>Yta upp till 200m</v>
      </c>
      <c r="C30" s="2">
        <f>Indata!C30</f>
        <v>2</v>
      </c>
      <c r="D30" s="2">
        <v>0.4</v>
      </c>
      <c r="E30" s="2">
        <v>10</v>
      </c>
      <c r="F30" s="2">
        <v>5</v>
      </c>
      <c r="G30" s="2" t="s">
        <v>196</v>
      </c>
      <c r="H30" s="6">
        <f t="shared" si="0"/>
        <v>0.2</v>
      </c>
      <c r="I30" s="7">
        <f>H30*D30</f>
        <v>8.0000000000000016E-2</v>
      </c>
      <c r="J30" s="8">
        <f>SUM(I30:I32)</f>
        <v>0.2</v>
      </c>
      <c r="K30" s="8" t="str">
        <f>A30</f>
        <v>Spontanidrott</v>
      </c>
    </row>
    <row r="31" spans="1:11">
      <c r="A31" s="2" t="str">
        <f>Indata!A31</f>
        <v>Spontanidrott</v>
      </c>
      <c r="B31" s="2" t="str">
        <f>Indata!B31</f>
        <v>Yta upp till500m</v>
      </c>
      <c r="C31" s="2">
        <f>Indata!C31</f>
        <v>1</v>
      </c>
      <c r="D31" s="2">
        <v>0.3</v>
      </c>
      <c r="E31" s="2">
        <v>10</v>
      </c>
      <c r="F31" s="2">
        <v>5</v>
      </c>
      <c r="G31" s="2" t="s">
        <v>196</v>
      </c>
      <c r="H31" s="6">
        <f t="shared" si="0"/>
        <v>0.1</v>
      </c>
      <c r="I31" s="7">
        <f>H31*D31</f>
        <v>0.03</v>
      </c>
      <c r="J31" s="8"/>
      <c r="K31" s="8"/>
    </row>
    <row r="32" spans="1:11">
      <c r="A32" s="2" t="str">
        <f>Indata!A32</f>
        <v>Spontanidrott</v>
      </c>
      <c r="B32" s="2" t="str">
        <f>Indata!B32</f>
        <v>Yta 1000m eller större</v>
      </c>
      <c r="C32" s="2">
        <f>Indata!C32</f>
        <v>3</v>
      </c>
      <c r="D32" s="2">
        <v>0.3</v>
      </c>
      <c r="E32" s="2">
        <v>10</v>
      </c>
      <c r="F32" s="2">
        <v>5</v>
      </c>
      <c r="G32" s="2" t="s">
        <v>196</v>
      </c>
      <c r="H32" s="6">
        <f t="shared" si="0"/>
        <v>0.3</v>
      </c>
      <c r="I32" s="7">
        <f>H32*D32</f>
        <v>0.09</v>
      </c>
      <c r="J32" s="8"/>
      <c r="K32" s="8"/>
    </row>
    <row r="33" spans="1:11">
      <c r="A33" s="2" t="str">
        <f>Indata!A33</f>
        <v>Restauranger</v>
      </c>
      <c r="B33" s="2" t="str">
        <f>Indata!B33</f>
        <v>Transporttid</v>
      </c>
      <c r="C33" s="2">
        <f>Indata!C33</f>
        <v>8</v>
      </c>
      <c r="D33" s="2">
        <v>1</v>
      </c>
      <c r="E33" s="2">
        <v>60</v>
      </c>
      <c r="G33" s="2" t="s">
        <v>198</v>
      </c>
      <c r="H33" s="6">
        <f t="shared" si="0"/>
        <v>0.8666666666666667</v>
      </c>
      <c r="I33" s="7">
        <f>H33*D33</f>
        <v>0.8666666666666667</v>
      </c>
      <c r="J33" s="9">
        <f>I33</f>
        <v>0.8666666666666667</v>
      </c>
      <c r="K33" s="10" t="str">
        <f>A33</f>
        <v>Restauranger</v>
      </c>
    </row>
    <row r="34" spans="1:11">
      <c r="A34" s="2" t="str">
        <f>Indata!A34</f>
        <v>Vänlighet</v>
      </c>
      <c r="B34" s="2" t="str">
        <f>Indata!B34</f>
        <v>Enkät</v>
      </c>
      <c r="C34" s="2">
        <f>Indata!C34</f>
        <v>5</v>
      </c>
      <c r="D34" s="2">
        <v>0.5</v>
      </c>
      <c r="E34" s="2">
        <v>5</v>
      </c>
      <c r="G34" s="2" t="s">
        <v>196</v>
      </c>
      <c r="H34" s="6">
        <f t="shared" si="0"/>
        <v>1</v>
      </c>
      <c r="I34" s="7">
        <f>H34*D34</f>
        <v>0.5</v>
      </c>
      <c r="J34" s="8">
        <f>SUM(I34:I35)</f>
        <v>0.96</v>
      </c>
      <c r="K34" s="8" t="str">
        <f>A34</f>
        <v>Vänlighet</v>
      </c>
    </row>
    <row r="35" spans="1:11">
      <c r="A35" s="2" t="str">
        <f>Indata!A35</f>
        <v>Vänlighet</v>
      </c>
      <c r="B35" s="2" t="str">
        <f>Indata!B35</f>
        <v>Omsättning</v>
      </c>
      <c r="C35" s="2">
        <f>Indata!C35</f>
        <v>8</v>
      </c>
      <c r="D35" s="2">
        <v>0.5</v>
      </c>
      <c r="E35" s="2">
        <v>100</v>
      </c>
      <c r="G35" s="2" t="s">
        <v>198</v>
      </c>
      <c r="H35" s="6">
        <f t="shared" si="0"/>
        <v>0.92</v>
      </c>
      <c r="I35" s="7">
        <f>H35*D35</f>
        <v>0.46</v>
      </c>
      <c r="J35" s="8"/>
      <c r="K35" s="8"/>
    </row>
    <row r="36" spans="1:11">
      <c r="A36" s="2" t="str">
        <f>Indata!A36</f>
        <v>Respekt</v>
      </c>
      <c r="B36" s="2" t="str">
        <f>Indata!B36</f>
        <v>Ålder</v>
      </c>
      <c r="C36" s="2">
        <f>Indata!C36</f>
        <v>40</v>
      </c>
      <c r="D36" s="2">
        <v>0.25</v>
      </c>
      <c r="E36" s="2">
        <v>100</v>
      </c>
      <c r="G36" s="2" t="s">
        <v>196</v>
      </c>
      <c r="H36" s="6">
        <f t="shared" si="0"/>
        <v>0.4</v>
      </c>
      <c r="I36" s="7">
        <f>H36*D36</f>
        <v>0.1</v>
      </c>
      <c r="J36" s="8">
        <f>SUM(I36:I39)</f>
        <v>0.60499999999999998</v>
      </c>
      <c r="K36" s="8" t="str">
        <f>A36</f>
        <v>Respekt</v>
      </c>
    </row>
    <row r="37" spans="1:11">
      <c r="A37" s="2" t="str">
        <f>Indata!A37</f>
        <v>Respekt</v>
      </c>
      <c r="B37" s="2" t="str">
        <f>Indata!B37</f>
        <v>Hushåll</v>
      </c>
      <c r="C37" s="2">
        <f>Indata!C37</f>
        <v>3</v>
      </c>
      <c r="D37" s="2">
        <v>0.25</v>
      </c>
      <c r="E37" s="2">
        <v>6</v>
      </c>
      <c r="G37" s="2" t="s">
        <v>196</v>
      </c>
      <c r="H37" s="6">
        <f t="shared" si="0"/>
        <v>0.5</v>
      </c>
      <c r="I37" s="7">
        <f>H37*D37</f>
        <v>0.125</v>
      </c>
      <c r="J37" s="8"/>
      <c r="K37" s="8"/>
    </row>
    <row r="38" spans="1:11">
      <c r="A38" s="2" t="str">
        <f>Indata!A38</f>
        <v>Respekt</v>
      </c>
      <c r="B38" s="2" t="str">
        <f>Indata!B38</f>
        <v>Bostadsform</v>
      </c>
      <c r="C38" s="2">
        <f>Indata!C38</f>
        <v>5</v>
      </c>
      <c r="D38" s="2">
        <v>0.3</v>
      </c>
      <c r="E38" s="2">
        <v>5</v>
      </c>
      <c r="G38" s="2" t="s">
        <v>196</v>
      </c>
      <c r="H38" s="6">
        <f t="shared" si="0"/>
        <v>1</v>
      </c>
      <c r="I38" s="7">
        <f>H38*D38</f>
        <v>0.3</v>
      </c>
      <c r="J38" s="8"/>
      <c r="K38" s="8"/>
    </row>
    <row r="39" spans="1:11">
      <c r="A39" s="2" t="str">
        <f>Indata!A39</f>
        <v>Respekt</v>
      </c>
      <c r="B39" s="2" t="str">
        <f>Indata!B39</f>
        <v>Inkomst</v>
      </c>
      <c r="C39" s="2">
        <f>Indata!C39</f>
        <v>2</v>
      </c>
      <c r="D39" s="2">
        <v>0.2</v>
      </c>
      <c r="E39" s="2">
        <v>5</v>
      </c>
      <c r="G39" s="2" t="s">
        <v>196</v>
      </c>
      <c r="H39" s="6">
        <f t="shared" si="0"/>
        <v>0.4</v>
      </c>
      <c r="I39" s="7">
        <f>H39*D39</f>
        <v>8.0000000000000016E-2</v>
      </c>
      <c r="J39" s="8"/>
      <c r="K39" s="8"/>
    </row>
    <row r="40" spans="1:11">
      <c r="A40" s="2" t="str">
        <f>Indata!A40</f>
        <v>Inomhussport</v>
      </c>
      <c r="B40" s="2" t="str">
        <f>Indata!B40</f>
        <v>Simhall</v>
      </c>
      <c r="C40" s="2">
        <f>Indata!C40</f>
        <v>3000</v>
      </c>
      <c r="D40" s="2">
        <v>0.4</v>
      </c>
      <c r="E40" s="2">
        <v>10000</v>
      </c>
      <c r="F40" s="2">
        <v>500</v>
      </c>
      <c r="G40" s="2" t="s">
        <v>197</v>
      </c>
      <c r="H40" s="6">
        <f t="shared" si="0"/>
        <v>0.73684210526315796</v>
      </c>
      <c r="I40" s="7">
        <f>H40*D40</f>
        <v>0.29473684210526319</v>
      </c>
      <c r="J40" s="8">
        <f>SUM(I40:I41)</f>
        <v>0.79999999999999993</v>
      </c>
      <c r="K40" s="8" t="str">
        <f>A40</f>
        <v>Inomhussport</v>
      </c>
    </row>
    <row r="41" spans="1:11">
      <c r="A41" s="2" t="str">
        <f>Indata!A41</f>
        <v>Inomhussport</v>
      </c>
      <c r="B41" s="2" t="str">
        <f>Indata!B41</f>
        <v>Sporthall</v>
      </c>
      <c r="C41" s="2">
        <f>Indata!C41</f>
        <v>2000</v>
      </c>
      <c r="D41" s="2">
        <v>0.6</v>
      </c>
      <c r="E41" s="2">
        <v>10000</v>
      </c>
      <c r="F41" s="2">
        <v>500</v>
      </c>
      <c r="G41" s="2" t="s">
        <v>197</v>
      </c>
      <c r="H41" s="6">
        <f t="shared" si="0"/>
        <v>0.84210526315789469</v>
      </c>
      <c r="I41" s="7">
        <f>H41*D41</f>
        <v>0.50526315789473675</v>
      </c>
      <c r="J41" s="8"/>
      <c r="K41" s="8"/>
    </row>
    <row r="42" spans="1:11">
      <c r="A42" s="2" t="str">
        <f>Indata!A42</f>
        <v>Kollektivtrafik</v>
      </c>
      <c r="B42" s="2" t="str">
        <f>Indata!B42</f>
        <v>Hållplats</v>
      </c>
      <c r="C42" s="2">
        <f>Indata!C42</f>
        <v>280</v>
      </c>
      <c r="D42" s="2">
        <v>0.4</v>
      </c>
      <c r="E42" s="2">
        <v>2000</v>
      </c>
      <c r="G42" s="2" t="s">
        <v>198</v>
      </c>
      <c r="H42" s="6">
        <f t="shared" si="0"/>
        <v>0.86</v>
      </c>
      <c r="I42" s="7">
        <f>H42*D42</f>
        <v>0.34400000000000003</v>
      </c>
      <c r="J42" s="8">
        <f>SUM(I42:I44)</f>
        <v>0.74399999999999999</v>
      </c>
      <c r="K42" s="8" t="str">
        <f>A42</f>
        <v>Kollektivtrafik</v>
      </c>
    </row>
    <row r="43" spans="1:11">
      <c r="A43" s="2" t="str">
        <f>Indata!A43</f>
        <v>Kollektivtrafik</v>
      </c>
      <c r="B43" s="2" t="str">
        <f>Indata!B43</f>
        <v>Frekvens</v>
      </c>
      <c r="C43" s="2">
        <f>Indata!C43</f>
        <v>2</v>
      </c>
      <c r="D43" s="2">
        <v>0.3</v>
      </c>
      <c r="E43" s="2">
        <v>6</v>
      </c>
      <c r="F43" s="2">
        <v>3</v>
      </c>
      <c r="G43" s="2" t="s">
        <v>197</v>
      </c>
      <c r="H43" s="6">
        <f t="shared" si="0"/>
        <v>0.66666666666666674</v>
      </c>
      <c r="I43" s="7">
        <f>H43*D43</f>
        <v>0.2</v>
      </c>
      <c r="J43" s="8"/>
      <c r="K43" s="8"/>
    </row>
    <row r="44" spans="1:11">
      <c r="A44" s="2" t="str">
        <f>Indata!A44</f>
        <v>Kollektivtrafik</v>
      </c>
      <c r="B44" s="2" t="str">
        <f>Indata!B44</f>
        <v>Trafiktyp</v>
      </c>
      <c r="C44" s="2">
        <f>Indata!C44</f>
        <v>1</v>
      </c>
      <c r="D44" s="2">
        <v>0.3</v>
      </c>
      <c r="E44" s="2">
        <v>3</v>
      </c>
      <c r="G44" s="2" t="s">
        <v>198</v>
      </c>
      <c r="H44" s="6">
        <f t="shared" si="0"/>
        <v>0.66666666666666663</v>
      </c>
      <c r="I44" s="7">
        <f>H44*D44</f>
        <v>0.19999999999999998</v>
      </c>
      <c r="J44" s="8"/>
      <c r="K44" s="8"/>
    </row>
    <row r="45" spans="1:11">
      <c r="A45" s="2" t="str">
        <f>Indata!A45</f>
        <v>Självskattning</v>
      </c>
      <c r="B45" s="2" t="str">
        <f>Indata!B45</f>
        <v>Trivsel</v>
      </c>
      <c r="C45" s="2">
        <f>Indata!C45</f>
        <v>4</v>
      </c>
      <c r="D45" s="2">
        <v>0.4</v>
      </c>
      <c r="E45" s="2">
        <v>5</v>
      </c>
      <c r="G45" s="2" t="s">
        <v>196</v>
      </c>
      <c r="H45" s="6">
        <f t="shared" si="0"/>
        <v>0.8</v>
      </c>
      <c r="I45" s="7">
        <f>H45*D45</f>
        <v>0.32000000000000006</v>
      </c>
      <c r="J45" s="8">
        <f>SUM(I45:I47)</f>
        <v>0.80000000000000016</v>
      </c>
      <c r="K45" s="8" t="str">
        <f>A45</f>
        <v>Självskattning</v>
      </c>
    </row>
    <row r="46" spans="1:11">
      <c r="A46" s="2" t="str">
        <f>Indata!A46</f>
        <v>Självskattning</v>
      </c>
      <c r="B46" s="2" t="str">
        <f>Indata!B46</f>
        <v>Rekommendation</v>
      </c>
      <c r="C46" s="2">
        <f>Indata!C46</f>
        <v>9</v>
      </c>
      <c r="D46" s="2">
        <v>0.4</v>
      </c>
      <c r="E46" s="2">
        <v>10</v>
      </c>
      <c r="G46" s="2" t="s">
        <v>196</v>
      </c>
      <c r="H46" s="6">
        <f t="shared" si="0"/>
        <v>0.9</v>
      </c>
      <c r="I46" s="7">
        <f>H46*D46</f>
        <v>0.36000000000000004</v>
      </c>
      <c r="J46" s="8"/>
      <c r="K46" s="8"/>
    </row>
    <row r="47" spans="1:11">
      <c r="A47" s="2" t="str">
        <f>Indata!A47</f>
        <v>Självskattning</v>
      </c>
      <c r="B47" s="2" t="str">
        <f>Indata!B47</f>
        <v>Framtidstro</v>
      </c>
      <c r="C47" s="2">
        <f>Indata!C47</f>
        <v>3</v>
      </c>
      <c r="D47" s="2">
        <v>0.2</v>
      </c>
      <c r="E47" s="2">
        <v>5</v>
      </c>
      <c r="G47" s="2" t="s">
        <v>196</v>
      </c>
      <c r="H47" s="6">
        <f t="shared" si="0"/>
        <v>0.6</v>
      </c>
      <c r="I47" s="7">
        <f>H47*D47</f>
        <v>0.12</v>
      </c>
      <c r="J47" s="8"/>
      <c r="K47" s="8"/>
    </row>
    <row r="48" spans="1:11">
      <c r="A48" s="2" t="str">
        <f>Indata!A48</f>
        <v>Unikitet</v>
      </c>
      <c r="B48" s="2" t="str">
        <f>Indata!B48</f>
        <v>Arkitektur</v>
      </c>
      <c r="C48" s="2">
        <f>Indata!C48</f>
        <v>75</v>
      </c>
      <c r="D48" s="2">
        <v>0.4</v>
      </c>
      <c r="E48" s="2">
        <v>100</v>
      </c>
      <c r="G48" s="2" t="s">
        <v>196</v>
      </c>
      <c r="H48" s="6">
        <f t="shared" si="0"/>
        <v>0.75</v>
      </c>
      <c r="I48" s="7">
        <f>H48*D48</f>
        <v>0.30000000000000004</v>
      </c>
      <c r="J48" s="8">
        <f>SUM(I48:I50)</f>
        <v>0.69000000000000006</v>
      </c>
      <c r="K48" s="8" t="str">
        <f>A48</f>
        <v>Unikitet</v>
      </c>
    </row>
    <row r="49" spans="1:11">
      <c r="A49" s="2" t="str">
        <f>Indata!A49</f>
        <v>Unikitet</v>
      </c>
      <c r="B49" s="2" t="str">
        <f>Indata!B49</f>
        <v>Funktion</v>
      </c>
      <c r="C49" s="2">
        <f>Indata!C49</f>
        <v>60</v>
      </c>
      <c r="D49" s="2">
        <v>0.3</v>
      </c>
      <c r="E49" s="2">
        <v>100</v>
      </c>
      <c r="G49" s="2" t="s">
        <v>196</v>
      </c>
      <c r="H49" s="6">
        <f t="shared" si="0"/>
        <v>0.6</v>
      </c>
      <c r="I49" s="7">
        <f>H49*D49</f>
        <v>0.18</v>
      </c>
      <c r="J49" s="8"/>
      <c r="K49" s="8"/>
    </row>
    <row r="50" spans="1:11">
      <c r="A50" s="2" t="str">
        <f>Indata!A50</f>
        <v>Unikitet</v>
      </c>
      <c r="B50" s="2" t="str">
        <f>Indata!B50</f>
        <v>Kultur</v>
      </c>
      <c r="C50" s="2">
        <f>Indata!C50</f>
        <v>70</v>
      </c>
      <c r="D50" s="2">
        <v>0.3</v>
      </c>
      <c r="E50" s="2">
        <v>100</v>
      </c>
      <c r="G50" s="2" t="s">
        <v>196</v>
      </c>
      <c r="H50" s="6">
        <f t="shared" si="0"/>
        <v>0.7</v>
      </c>
      <c r="I50" s="7">
        <f>H50*D50</f>
        <v>0.21</v>
      </c>
      <c r="J50" s="8"/>
      <c r="K50" s="8"/>
    </row>
    <row r="51" spans="1:11">
      <c r="A51" s="2" t="str">
        <f>Indata!A51</f>
        <v>Lekplatser</v>
      </c>
      <c r="B51" s="2" t="str">
        <f>Indata!B51</f>
        <v>Närhet</v>
      </c>
      <c r="C51" s="2">
        <f>Indata!C51</f>
        <v>250</v>
      </c>
      <c r="D51" s="2">
        <v>0.4</v>
      </c>
      <c r="E51" s="2">
        <v>5000</v>
      </c>
      <c r="F51" s="2">
        <v>300</v>
      </c>
      <c r="G51" s="2" t="s">
        <v>197</v>
      </c>
      <c r="H51" s="6">
        <f t="shared" si="0"/>
        <v>0.98936170212765961</v>
      </c>
      <c r="I51" s="7">
        <f>H51*D51</f>
        <v>0.39574468085106385</v>
      </c>
      <c r="J51" s="8">
        <f>SUM(I51:I53)</f>
        <v>0.85003039513677814</v>
      </c>
      <c r="K51" s="8" t="str">
        <f>A51</f>
        <v>Lekplatser</v>
      </c>
    </row>
    <row r="52" spans="1:11">
      <c r="A52" s="2" t="str">
        <f>Indata!A52</f>
        <v>Lekplatser</v>
      </c>
      <c r="B52" s="2" t="str">
        <f>Indata!B52</f>
        <v>Kvalitet</v>
      </c>
      <c r="C52" s="2">
        <f>Indata!C52</f>
        <v>4</v>
      </c>
      <c r="D52" s="2">
        <v>0.3</v>
      </c>
      <c r="E52" s="2">
        <v>5</v>
      </c>
      <c r="G52" s="2" t="s">
        <v>196</v>
      </c>
      <c r="H52" s="6">
        <f t="shared" si="0"/>
        <v>0.8</v>
      </c>
      <c r="I52" s="7">
        <f>H52*D52</f>
        <v>0.24</v>
      </c>
      <c r="J52" s="8"/>
      <c r="K52" s="8"/>
    </row>
    <row r="53" spans="1:11">
      <c r="A53" s="2" t="str">
        <f>Indata!A53</f>
        <v>Lekplatser</v>
      </c>
      <c r="B53" s="2" t="str">
        <f>Indata!B53</f>
        <v>Antal inom radie 2 km</v>
      </c>
      <c r="C53" s="2">
        <f>Indata!C53</f>
        <v>2</v>
      </c>
      <c r="D53" s="2">
        <v>0.3</v>
      </c>
      <c r="E53" s="2">
        <v>20</v>
      </c>
      <c r="F53" s="2">
        <v>6</v>
      </c>
      <c r="G53" s="2" t="s">
        <v>197</v>
      </c>
      <c r="H53" s="6">
        <f t="shared" si="0"/>
        <v>0.7142857142857143</v>
      </c>
      <c r="I53" s="7">
        <f>H53*D53</f>
        <v>0.21428571428571427</v>
      </c>
      <c r="J53" s="8"/>
      <c r="K53" s="8"/>
    </row>
    <row r="54" spans="1:11">
      <c r="A54" s="2" t="str">
        <f>Indata!A54</f>
        <v>Meningsfulla kontakter</v>
      </c>
      <c r="B54" s="2" t="str">
        <f>Indata!B54</f>
        <v>Grannkontakt</v>
      </c>
      <c r="C54" s="2">
        <f>Indata!C54</f>
        <v>7</v>
      </c>
      <c r="D54" s="2">
        <v>0.3</v>
      </c>
      <c r="E54" s="2">
        <v>20</v>
      </c>
      <c r="G54" s="2" t="s">
        <v>196</v>
      </c>
      <c r="H54" s="6">
        <f t="shared" si="0"/>
        <v>0.35</v>
      </c>
      <c r="I54" s="7">
        <f>H54*D54</f>
        <v>0.105</v>
      </c>
      <c r="J54" s="8">
        <f>SUM(I54:I56)</f>
        <v>0.34499999999999997</v>
      </c>
      <c r="K54" s="8" t="str">
        <f>A54</f>
        <v>Meningsfulla kontakter</v>
      </c>
    </row>
    <row r="55" spans="1:11">
      <c r="A55" s="2" t="str">
        <f>Indata!A55</f>
        <v>Meningsfulla kontakter</v>
      </c>
      <c r="B55" s="2" t="str">
        <f>Indata!B55</f>
        <v>Aktiviteter</v>
      </c>
      <c r="C55" s="2">
        <f>Indata!C55</f>
        <v>3</v>
      </c>
      <c r="D55" s="2">
        <v>0.4</v>
      </c>
      <c r="E55" s="2">
        <v>10</v>
      </c>
      <c r="G55" s="2" t="s">
        <v>196</v>
      </c>
      <c r="H55" s="6">
        <f t="shared" si="0"/>
        <v>0.3</v>
      </c>
      <c r="I55" s="7">
        <f>H55*D55</f>
        <v>0.12</v>
      </c>
      <c r="J55" s="8"/>
      <c r="K55" s="8"/>
    </row>
    <row r="56" spans="1:11">
      <c r="A56" s="2" t="str">
        <f>Indata!A56</f>
        <v>Meningsfulla kontakter</v>
      </c>
      <c r="B56" s="2" t="str">
        <f>Indata!B56</f>
        <v>Gemenskap</v>
      </c>
      <c r="C56" s="2">
        <f>Indata!C56</f>
        <v>2</v>
      </c>
      <c r="D56" s="2">
        <v>0.3</v>
      </c>
      <c r="E56" s="2">
        <v>5</v>
      </c>
      <c r="G56" s="2" t="s">
        <v>196</v>
      </c>
      <c r="H56" s="6">
        <f t="shared" si="0"/>
        <v>0.4</v>
      </c>
      <c r="I56" s="7">
        <f>H56*D56</f>
        <v>0.12</v>
      </c>
      <c r="J56" s="8"/>
      <c r="K56" s="8"/>
    </row>
    <row r="57" spans="1:11">
      <c r="A57" s="2" t="str">
        <f>Indata!A57</f>
        <v>Stolthet</v>
      </c>
      <c r="B57" s="2" t="str">
        <f>Indata!B57</f>
        <v>Rekommendation</v>
      </c>
      <c r="C57" s="2">
        <f>Indata!C57</f>
        <v>5</v>
      </c>
      <c r="D57" s="2">
        <v>1</v>
      </c>
      <c r="E57" s="2">
        <v>10</v>
      </c>
      <c r="G57" s="2" t="s">
        <v>196</v>
      </c>
      <c r="H57" s="6">
        <f t="shared" si="0"/>
        <v>0.5</v>
      </c>
      <c r="I57" s="7">
        <f>H57*D57</f>
        <v>0.5</v>
      </c>
      <c r="J57" s="9">
        <f>I57</f>
        <v>0.5</v>
      </c>
      <c r="K57" s="10" t="str">
        <f>A57</f>
        <v>Stolthet</v>
      </c>
    </row>
    <row r="58" spans="1:11">
      <c r="A58" s="2" t="str">
        <f>Indata!A58</f>
        <v>Återflyttningsgrad</v>
      </c>
      <c r="B58" s="2" t="str">
        <f>Indata!B58</f>
        <v>Återflyttare</v>
      </c>
      <c r="C58" s="2">
        <f>Indata!C58</f>
        <v>40</v>
      </c>
      <c r="D58" s="2">
        <v>1</v>
      </c>
      <c r="E58" s="2">
        <v>100</v>
      </c>
      <c r="G58" s="2" t="s">
        <v>196</v>
      </c>
      <c r="H58" s="6">
        <f t="shared" si="0"/>
        <v>0.4</v>
      </c>
      <c r="I58" s="7">
        <f>H58*D58</f>
        <v>0.4</v>
      </c>
      <c r="J58" s="9">
        <f>I58</f>
        <v>0.4</v>
      </c>
      <c r="K58" s="10" t="str">
        <f>A58</f>
        <v>Återflyttningsgrad</v>
      </c>
    </row>
    <row r="59" spans="1:11">
      <c r="A59" s="2" t="str">
        <f>Indata!A59</f>
        <v>Likriktning</v>
      </c>
      <c r="B59" s="2" t="str">
        <f>Indata!B59</f>
        <v>Fasad</v>
      </c>
      <c r="C59" s="2">
        <f>Indata!C59</f>
        <v>85</v>
      </c>
      <c r="D59" s="2">
        <v>0.5</v>
      </c>
      <c r="E59" s="2">
        <v>100</v>
      </c>
      <c r="G59" s="2" t="s">
        <v>196</v>
      </c>
      <c r="H59" s="6">
        <f t="shared" si="0"/>
        <v>0.85</v>
      </c>
      <c r="I59" s="7">
        <f>H59*D59</f>
        <v>0.42499999999999999</v>
      </c>
      <c r="J59" s="8">
        <f>SUM(I59:I61)</f>
        <v>0.88749999999999996</v>
      </c>
      <c r="K59" s="8" t="str">
        <f>A59</f>
        <v>Likriktning</v>
      </c>
    </row>
    <row r="60" spans="1:11">
      <c r="A60" s="2" t="str">
        <f>Indata!A60</f>
        <v>Likriktning</v>
      </c>
      <c r="B60" s="2" t="str">
        <f>Indata!B60</f>
        <v>Tak</v>
      </c>
      <c r="C60" s="2">
        <f>Indata!C60</f>
        <v>90</v>
      </c>
      <c r="D60" s="2">
        <v>0.25</v>
      </c>
      <c r="E60" s="2">
        <v>100</v>
      </c>
      <c r="G60" s="2" t="s">
        <v>196</v>
      </c>
      <c r="H60" s="6">
        <f t="shared" si="0"/>
        <v>0.9</v>
      </c>
      <c r="I60" s="7">
        <f>H60*D60</f>
        <v>0.22500000000000001</v>
      </c>
      <c r="J60" s="8"/>
      <c r="K60" s="8"/>
    </row>
    <row r="61" spans="1:11">
      <c r="A61" s="2" t="str">
        <f>Indata!A61</f>
        <v>Likriktning</v>
      </c>
      <c r="B61" s="2" t="str">
        <f>Indata!B61</f>
        <v>Höjd</v>
      </c>
      <c r="C61" s="2">
        <f>Indata!C61</f>
        <v>95</v>
      </c>
      <c r="D61" s="2">
        <v>0.25</v>
      </c>
      <c r="E61" s="2">
        <v>100</v>
      </c>
      <c r="G61" s="2" t="s">
        <v>196</v>
      </c>
      <c r="H61" s="6">
        <f t="shared" si="0"/>
        <v>0.95</v>
      </c>
      <c r="I61" s="7">
        <f>H61*D61</f>
        <v>0.23749999999999999</v>
      </c>
      <c r="J61" s="8"/>
      <c r="K61" s="8"/>
    </row>
    <row r="62" spans="1:11">
      <c r="A62" s="2" t="str">
        <f>Indata!A62</f>
        <v>Lokal arkitektur</v>
      </c>
      <c r="B62" s="2" t="str">
        <f>Indata!B62</f>
        <v>Klimat</v>
      </c>
      <c r="C62" s="2">
        <f>Indata!C62</f>
        <v>80</v>
      </c>
      <c r="D62" s="2">
        <v>0.3</v>
      </c>
      <c r="E62" s="2">
        <v>100</v>
      </c>
      <c r="G62" s="2" t="s">
        <v>196</v>
      </c>
      <c r="H62" s="6">
        <f t="shared" si="0"/>
        <v>0.8</v>
      </c>
      <c r="I62" s="7">
        <f>H62*D62</f>
        <v>0.24</v>
      </c>
      <c r="J62" s="8">
        <f>SUM(I62:I65)</f>
        <v>0.83300000000000007</v>
      </c>
      <c r="K62" s="8" t="str">
        <f>A62</f>
        <v>Lokal arkitektur</v>
      </c>
    </row>
    <row r="63" spans="1:11">
      <c r="A63" s="2" t="str">
        <f>Indata!A63</f>
        <v>Lokal arkitektur</v>
      </c>
      <c r="B63" s="2" t="str">
        <f>Indata!B63</f>
        <v>Material</v>
      </c>
      <c r="C63" s="2">
        <f>Indata!C63</f>
        <v>87</v>
      </c>
      <c r="D63" s="2">
        <v>0.3</v>
      </c>
      <c r="E63" s="2">
        <v>100</v>
      </c>
      <c r="G63" s="2" t="s">
        <v>196</v>
      </c>
      <c r="H63" s="6">
        <f t="shared" si="0"/>
        <v>0.87</v>
      </c>
      <c r="I63" s="7">
        <f>H63*D63</f>
        <v>0.26100000000000001</v>
      </c>
      <c r="J63" s="8"/>
      <c r="K63" s="8"/>
    </row>
    <row r="64" spans="1:11">
      <c r="A64" s="2" t="str">
        <f>Indata!A64</f>
        <v>Lokal arkitektur</v>
      </c>
      <c r="B64" s="2" t="str">
        <f>Indata!B64</f>
        <v>Tradition</v>
      </c>
      <c r="C64" s="2">
        <f>Indata!C64</f>
        <v>81</v>
      </c>
      <c r="D64" s="2">
        <v>0.2</v>
      </c>
      <c r="E64" s="2">
        <v>100</v>
      </c>
      <c r="G64" s="2" t="s">
        <v>196</v>
      </c>
      <c r="H64" s="6">
        <f t="shared" si="0"/>
        <v>0.81</v>
      </c>
      <c r="I64" s="7">
        <f>H64*D64</f>
        <v>0.16200000000000003</v>
      </c>
      <c r="J64" s="8"/>
      <c r="K64" s="8"/>
    </row>
    <row r="65" spans="1:11">
      <c r="A65" s="2" t="str">
        <f>Indata!A65</f>
        <v>Lokal arkitektur</v>
      </c>
      <c r="B65" s="2" t="str">
        <f>Indata!B65</f>
        <v>Plats</v>
      </c>
      <c r="C65" s="2">
        <f>Indata!C65</f>
        <v>85</v>
      </c>
      <c r="D65" s="2">
        <v>0.2</v>
      </c>
      <c r="E65" s="2">
        <v>100</v>
      </c>
      <c r="G65" s="2" t="s">
        <v>196</v>
      </c>
      <c r="H65" s="6">
        <f t="shared" si="0"/>
        <v>0.85</v>
      </c>
      <c r="I65" s="7">
        <f>H65*D65</f>
        <v>0.17</v>
      </c>
      <c r="J65" s="8"/>
      <c r="K65" s="8"/>
    </row>
    <row r="66" spans="1:11">
      <c r="A66" s="2" t="str">
        <f>Indata!A66</f>
        <v>Återbruksgrad</v>
      </c>
      <c r="B66" s="2" t="str">
        <f>Indata!B66</f>
        <v>Material</v>
      </c>
      <c r="C66" s="2">
        <f>Indata!C66</f>
        <v>25</v>
      </c>
      <c r="D66" s="2">
        <v>1</v>
      </c>
      <c r="E66" s="2">
        <v>100</v>
      </c>
      <c r="G66" s="2" t="s">
        <v>196</v>
      </c>
      <c r="H66" s="6">
        <f t="shared" si="0"/>
        <v>0.25</v>
      </c>
      <c r="I66" s="7">
        <f>H66*D66</f>
        <v>0.25</v>
      </c>
      <c r="J66" s="9">
        <f>I66</f>
        <v>0.25</v>
      </c>
      <c r="K66" s="10" t="str">
        <f>A66</f>
        <v>Återbruksgrad</v>
      </c>
    </row>
    <row r="67" spans="1:11">
      <c r="A67" s="2" t="str">
        <f>Indata!A67</f>
        <v>Blandad bebyggelse</v>
      </c>
      <c r="B67" s="2" t="str">
        <f>Indata!B67</f>
        <v>Dygnsaktivitet</v>
      </c>
      <c r="C67" s="2">
        <f>Indata!C67</f>
        <v>16</v>
      </c>
      <c r="D67" s="2">
        <v>0.5</v>
      </c>
      <c r="E67" s="2">
        <v>24</v>
      </c>
      <c r="G67" s="2" t="s">
        <v>196</v>
      </c>
      <c r="H67" s="6">
        <f t="shared" ref="H67:H68" si="1">IF(G67="Max",C67/E67,IF(G67="Min",(E67-C67)/E67,IF(G67="Opt",(1-ABS(C67-F67)/(E67-F67)),"Fel i logik")))</f>
        <v>0.66666666666666663</v>
      </c>
      <c r="I67" s="7">
        <f>H67*D67</f>
        <v>0.33333333333333331</v>
      </c>
      <c r="J67" s="8">
        <f>SUM(I67:I68)</f>
        <v>0.66666666666666663</v>
      </c>
      <c r="K67" s="8" t="str">
        <f>A67</f>
        <v>Blandad bebyggelse</v>
      </c>
    </row>
    <row r="68" spans="1:11">
      <c r="A68" s="2" t="str">
        <f>Indata!A68</f>
        <v>Blandad bebyggelse</v>
      </c>
      <c r="B68" s="2" t="str">
        <f>Indata!B68</f>
        <v>Användargrupper</v>
      </c>
      <c r="C68" s="2">
        <f>Indata!C68</f>
        <v>4</v>
      </c>
      <c r="D68" s="2">
        <v>0.5</v>
      </c>
      <c r="E68" s="2">
        <v>6</v>
      </c>
      <c r="G68" s="2" t="s">
        <v>196</v>
      </c>
      <c r="H68" s="6">
        <f t="shared" si="1"/>
        <v>0.66666666666666663</v>
      </c>
      <c r="I68" s="7">
        <f>H68*D68</f>
        <v>0.33333333333333331</v>
      </c>
      <c r="J68" s="8"/>
      <c r="K68" s="8"/>
    </row>
  </sheetData>
  <mergeCells count="42">
    <mergeCell ref="K59:K61"/>
    <mergeCell ref="K62:K65"/>
    <mergeCell ref="K67:K68"/>
    <mergeCell ref="K2:K5"/>
    <mergeCell ref="K6:K8"/>
    <mergeCell ref="K9:K10"/>
    <mergeCell ref="K11:K12"/>
    <mergeCell ref="K13:K16"/>
    <mergeCell ref="K18:K19"/>
    <mergeCell ref="K40:K41"/>
    <mergeCell ref="K42:K44"/>
    <mergeCell ref="K45:K47"/>
    <mergeCell ref="K48:K50"/>
    <mergeCell ref="K51:K53"/>
    <mergeCell ref="K54:K56"/>
    <mergeCell ref="K20:K21"/>
    <mergeCell ref="K24:K25"/>
    <mergeCell ref="K27:K28"/>
    <mergeCell ref="K30:K32"/>
    <mergeCell ref="K34:K35"/>
    <mergeCell ref="K36:K39"/>
    <mergeCell ref="J54:J56"/>
    <mergeCell ref="J59:J61"/>
    <mergeCell ref="J62:J65"/>
    <mergeCell ref="J67:J68"/>
    <mergeCell ref="J36:J39"/>
    <mergeCell ref="J40:J41"/>
    <mergeCell ref="J42:J44"/>
    <mergeCell ref="J45:J47"/>
    <mergeCell ref="J48:J50"/>
    <mergeCell ref="J51:J53"/>
    <mergeCell ref="J18:J19"/>
    <mergeCell ref="J20:J21"/>
    <mergeCell ref="J24:J25"/>
    <mergeCell ref="J27:J28"/>
    <mergeCell ref="J30:J32"/>
    <mergeCell ref="J34:J35"/>
    <mergeCell ref="J2:J5"/>
    <mergeCell ref="J6:J8"/>
    <mergeCell ref="J9:J10"/>
    <mergeCell ref="J11:J12"/>
    <mergeCell ref="J13:J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B6D7E-290E-2845-A5E0-DB04F66D5EC9}">
  <dimension ref="A1:C32"/>
  <sheetViews>
    <sheetView workbookViewId="0">
      <selection activeCell="E34" sqref="E34"/>
    </sheetView>
  </sheetViews>
  <sheetFormatPr baseColWidth="10" defaultRowHeight="16"/>
  <cols>
    <col min="1" max="1" width="20.83203125" style="11" bestFit="1" customWidth="1"/>
    <col min="2" max="2" width="10.83203125" style="11"/>
    <col min="3" max="3" width="0" style="11" hidden="1" customWidth="1"/>
    <col min="4" max="16384" width="10.83203125" style="11"/>
  </cols>
  <sheetData>
    <row r="1" spans="1:3" s="11" customFormat="1">
      <c r="A1" s="11" t="str">
        <f>Definitioner!A4</f>
        <v>Parameter</v>
      </c>
      <c r="B1" s="11" t="s">
        <v>200</v>
      </c>
      <c r="C1" s="11" t="s">
        <v>201</v>
      </c>
    </row>
    <row r="2" spans="1:3" s="11" customFormat="1">
      <c r="A2" s="12" t="str">
        <f>Definitioner!A5</f>
        <v>Rent</v>
      </c>
      <c r="B2" s="12">
        <f>_xlfn.XLOOKUP(A2,Beräkningar!K:K,Beräkningar!J:J,"Fel")</f>
        <v>0.75571428571428567</v>
      </c>
      <c r="C2" s="11">
        <v>1</v>
      </c>
    </row>
    <row r="3" spans="1:3" s="11" customFormat="1">
      <c r="A3" s="12" t="str">
        <f>Definitioner!A6</f>
        <v>Möjlighet att mötas</v>
      </c>
      <c r="B3" s="12">
        <f>_xlfn.XLOOKUP(A3,Beräkningar!K:K,Beräkningar!J:J,"Fel")</f>
        <v>0.96800000000000008</v>
      </c>
      <c r="C3" s="11">
        <v>1</v>
      </c>
    </row>
    <row r="4" spans="1:3" s="11" customFormat="1">
      <c r="A4" s="12" t="str">
        <f>Definitioner!A7</f>
        <v>Igenkänning</v>
      </c>
      <c r="B4" s="12">
        <f>_xlfn.XLOOKUP(A4,Beräkningar!K:K,Beräkningar!J:J,"Fel")</f>
        <v>0.9</v>
      </c>
      <c r="C4" s="11">
        <v>1</v>
      </c>
    </row>
    <row r="5" spans="1:3" s="11" customFormat="1">
      <c r="A5" s="12" t="str">
        <f>Definitioner!A8</f>
        <v>Trygghet</v>
      </c>
      <c r="B5" s="12">
        <f>_xlfn.XLOOKUP(A5,Beräkningar!K:K,Beräkningar!J:J,"Fel")</f>
        <v>0.84850000000000003</v>
      </c>
      <c r="C5" s="11">
        <v>1</v>
      </c>
    </row>
    <row r="6" spans="1:3" s="11" customFormat="1">
      <c r="A6" s="12" t="str">
        <f>Definitioner!A9</f>
        <v>Service</v>
      </c>
      <c r="B6" s="12">
        <f>_xlfn.XLOOKUP(A6,Beräkningar!K:K,Beräkningar!J:J,"Fel")</f>
        <v>0.95769557823129259</v>
      </c>
      <c r="C6" s="11">
        <v>1</v>
      </c>
    </row>
    <row r="7" spans="1:3" s="11" customFormat="1">
      <c r="A7" s="12" t="str">
        <f>Definitioner!A10</f>
        <v>Utbildning</v>
      </c>
      <c r="B7" s="12">
        <f>_xlfn.XLOOKUP(A7,Beräkningar!K:K,Beräkningar!J:J,"Fel")</f>
        <v>0.5</v>
      </c>
      <c r="C7" s="11">
        <v>1</v>
      </c>
    </row>
    <row r="8" spans="1:3" s="11" customFormat="1">
      <c r="A8" s="12" t="str">
        <f>Definitioner!A11</f>
        <v>Barfota</v>
      </c>
      <c r="B8" s="12">
        <f>_xlfn.XLOOKUP(A8,Beräkningar!K:K,Beräkningar!J:J,"Fel")</f>
        <v>0.57499999999999996</v>
      </c>
      <c r="C8" s="11">
        <v>1</v>
      </c>
    </row>
    <row r="9" spans="1:3" s="11" customFormat="1">
      <c r="A9" s="12" t="str">
        <f>Definitioner!A12</f>
        <v>Föreningsliv</v>
      </c>
      <c r="B9" s="12">
        <f>_xlfn.XLOOKUP(A9,Beräkningar!K:K,Beräkningar!J:J,"Fel")</f>
        <v>0.87397959183673468</v>
      </c>
      <c r="C9" s="11">
        <v>1</v>
      </c>
    </row>
    <row r="10" spans="1:3" s="11" customFormat="1">
      <c r="A10" s="12" t="str">
        <f>Definitioner!A13</f>
        <v>Leveranser</v>
      </c>
      <c r="B10" s="12">
        <f>_xlfn.XLOOKUP(A10,Beräkningar!K:K,Beräkningar!J:J,"Fel")</f>
        <v>0.8</v>
      </c>
      <c r="C10" s="11">
        <v>1</v>
      </c>
    </row>
    <row r="11" spans="1:3" s="11" customFormat="1">
      <c r="A11" s="12" t="str">
        <f>Definitioner!A14</f>
        <v>Variation gator</v>
      </c>
      <c r="B11" s="12">
        <f>_xlfn.XLOOKUP(A11,Beräkningar!K:K,Beräkningar!J:J,"Fel")</f>
        <v>0.12</v>
      </c>
      <c r="C11" s="11">
        <v>1</v>
      </c>
    </row>
    <row r="12" spans="1:3" s="11" customFormat="1">
      <c r="A12" s="12" t="str">
        <f>Definitioner!A15</f>
        <v>Livsmedel</v>
      </c>
      <c r="B12" s="12">
        <f>_xlfn.XLOOKUP(A12,Beräkningar!K:K,Beräkningar!J:J,"Fel")</f>
        <v>0.90666266506602633</v>
      </c>
      <c r="C12" s="11">
        <v>1</v>
      </c>
    </row>
    <row r="13" spans="1:3" s="11" customFormat="1">
      <c r="A13" s="12" t="str">
        <f>Definitioner!A16</f>
        <v>Kraftmix</v>
      </c>
      <c r="B13" s="12">
        <f>_xlfn.XLOOKUP(A13,Beräkningar!K:K,Beräkningar!J:J,"Fel")</f>
        <v>0.3</v>
      </c>
      <c r="C13" s="11">
        <v>1</v>
      </c>
    </row>
    <row r="14" spans="1:3" s="11" customFormat="1">
      <c r="A14" s="12" t="str">
        <f>Definitioner!A17</f>
        <v>Stress</v>
      </c>
      <c r="B14" s="12">
        <f>_xlfn.XLOOKUP(A14,Beräkningar!K:K,Beräkningar!J:J,"Fel")</f>
        <v>0.81249999999999989</v>
      </c>
      <c r="C14" s="11">
        <v>1</v>
      </c>
    </row>
    <row r="15" spans="1:3" s="11" customFormat="1">
      <c r="A15" s="12" t="str">
        <f>Definitioner!A18</f>
        <v>Levande bottenvån</v>
      </c>
      <c r="B15" s="12">
        <f>_xlfn.XLOOKUP(A15,Beräkningar!K:K,Beräkningar!J:J,"Fel")</f>
        <v>0.03</v>
      </c>
      <c r="C15" s="11">
        <v>1</v>
      </c>
    </row>
    <row r="16" spans="1:3" s="11" customFormat="1">
      <c r="A16" s="12" t="str">
        <f>Definitioner!A19</f>
        <v>Spontanidrott</v>
      </c>
      <c r="B16" s="12">
        <f>_xlfn.XLOOKUP(A16,Beräkningar!K:K,Beräkningar!J:J,"Fel")</f>
        <v>0.2</v>
      </c>
      <c r="C16" s="11">
        <v>1</v>
      </c>
    </row>
    <row r="17" spans="1:3" s="11" customFormat="1">
      <c r="A17" s="12" t="str">
        <f>Definitioner!A20</f>
        <v>Restauranger</v>
      </c>
      <c r="B17" s="12">
        <f>_xlfn.XLOOKUP(A17,Beräkningar!K:K,Beräkningar!J:J,"Fel")</f>
        <v>0.8666666666666667</v>
      </c>
      <c r="C17" s="11">
        <v>1</v>
      </c>
    </row>
    <row r="18" spans="1:3" s="11" customFormat="1">
      <c r="A18" s="12" t="str">
        <f>Definitioner!A21</f>
        <v>Vänlighet</v>
      </c>
      <c r="B18" s="12">
        <f>_xlfn.XLOOKUP(A18,Beräkningar!K:K,Beräkningar!J:J,"Fel")</f>
        <v>0.96</v>
      </c>
      <c r="C18" s="11">
        <v>1</v>
      </c>
    </row>
    <row r="19" spans="1:3" s="11" customFormat="1">
      <c r="A19" s="12" t="str">
        <f>Definitioner!A22</f>
        <v>Respekt</v>
      </c>
      <c r="B19" s="12">
        <f>_xlfn.XLOOKUP(A19,Beräkningar!K:K,Beräkningar!J:J,"Fel")</f>
        <v>0.60499999999999998</v>
      </c>
      <c r="C19" s="11">
        <v>1</v>
      </c>
    </row>
    <row r="20" spans="1:3" s="11" customFormat="1">
      <c r="A20" s="12" t="str">
        <f>Definitioner!A23</f>
        <v>Inomhussport</v>
      </c>
      <c r="B20" s="12">
        <f>_xlfn.XLOOKUP(A20,Beräkningar!K:K,Beräkningar!J:J,"Fel")</f>
        <v>0.79999999999999993</v>
      </c>
      <c r="C20" s="11">
        <v>1</v>
      </c>
    </row>
    <row r="21" spans="1:3" s="11" customFormat="1">
      <c r="A21" s="12" t="str">
        <f>Definitioner!A24</f>
        <v>Kollektivtrafik</v>
      </c>
      <c r="B21" s="12">
        <f>_xlfn.XLOOKUP(A21,Beräkningar!K:K,Beräkningar!J:J,"Fel")</f>
        <v>0.74399999999999999</v>
      </c>
      <c r="C21" s="11">
        <v>1</v>
      </c>
    </row>
    <row r="22" spans="1:3" s="11" customFormat="1">
      <c r="A22" s="12" t="str">
        <f>Definitioner!A25</f>
        <v>Självskattning</v>
      </c>
      <c r="B22" s="12">
        <f>_xlfn.XLOOKUP(A22,Beräkningar!K:K,Beräkningar!J:J,"Fel")</f>
        <v>0.80000000000000016</v>
      </c>
      <c r="C22" s="11">
        <v>1</v>
      </c>
    </row>
    <row r="23" spans="1:3" s="11" customFormat="1">
      <c r="A23" s="12" t="str">
        <f>Definitioner!A26</f>
        <v>Unikitet</v>
      </c>
      <c r="B23" s="12">
        <f>_xlfn.XLOOKUP(A23,Beräkningar!K:K,Beräkningar!J:J,"Fel")</f>
        <v>0.69000000000000006</v>
      </c>
      <c r="C23" s="11">
        <v>1</v>
      </c>
    </row>
    <row r="24" spans="1:3" s="11" customFormat="1">
      <c r="A24" s="12" t="str">
        <f>Definitioner!A27</f>
        <v>Lekplatser</v>
      </c>
      <c r="B24" s="12">
        <f>_xlfn.XLOOKUP(A24,Beräkningar!K:K,Beräkningar!J:J,"Fel")</f>
        <v>0.85003039513677814</v>
      </c>
      <c r="C24" s="11">
        <v>1</v>
      </c>
    </row>
    <row r="25" spans="1:3" s="11" customFormat="1">
      <c r="A25" s="12" t="str">
        <f>Definitioner!A28</f>
        <v>Meningsfulla kontakter</v>
      </c>
      <c r="B25" s="12">
        <f>_xlfn.XLOOKUP(A25,Beräkningar!K:K,Beräkningar!J:J,"Fel")</f>
        <v>0.34499999999999997</v>
      </c>
      <c r="C25" s="11">
        <v>1</v>
      </c>
    </row>
    <row r="26" spans="1:3" s="11" customFormat="1">
      <c r="A26" s="12" t="str">
        <f>Definitioner!A29</f>
        <v>Stolthet</v>
      </c>
      <c r="B26" s="12">
        <f>_xlfn.XLOOKUP(A26,Beräkningar!K:K,Beräkningar!J:J,"Fel")</f>
        <v>0.5</v>
      </c>
      <c r="C26" s="11">
        <v>1</v>
      </c>
    </row>
    <row r="27" spans="1:3" s="11" customFormat="1">
      <c r="A27" s="12" t="str">
        <f>Definitioner!A30</f>
        <v>Återflyttningsgrad</v>
      </c>
      <c r="B27" s="12">
        <f>_xlfn.XLOOKUP(A27,Beräkningar!K:K,Beräkningar!J:J,"Fel")</f>
        <v>0.4</v>
      </c>
      <c r="C27" s="11">
        <v>1</v>
      </c>
    </row>
    <row r="28" spans="1:3" s="11" customFormat="1">
      <c r="A28" s="12" t="str">
        <f>Definitioner!A31</f>
        <v>Likriktning</v>
      </c>
      <c r="B28" s="12">
        <f>_xlfn.XLOOKUP(A28,Beräkningar!K:K,Beräkningar!J:J,"Fel")</f>
        <v>0.88749999999999996</v>
      </c>
      <c r="C28" s="11">
        <v>1</v>
      </c>
    </row>
    <row r="29" spans="1:3" s="11" customFormat="1">
      <c r="A29" s="12" t="str">
        <f>Definitioner!A32</f>
        <v>Lokal arkitektur</v>
      </c>
      <c r="B29" s="12">
        <f>_xlfn.XLOOKUP(A29,Beräkningar!K:K,Beräkningar!J:J,"Fel")</f>
        <v>0.83300000000000007</v>
      </c>
      <c r="C29" s="11">
        <v>1</v>
      </c>
    </row>
    <row r="30" spans="1:3" s="11" customFormat="1">
      <c r="A30" s="12" t="str">
        <f>Definitioner!A33</f>
        <v>Återbruksgrad</v>
      </c>
      <c r="B30" s="12">
        <f>_xlfn.XLOOKUP(A30,Beräkningar!K:K,Beräkningar!J:J,"Fel")</f>
        <v>0.25</v>
      </c>
      <c r="C30" s="11">
        <v>1</v>
      </c>
    </row>
    <row r="31" spans="1:3" s="11" customFormat="1">
      <c r="A31" s="12" t="str">
        <f>Definitioner!A34</f>
        <v>Blandad bebyggelse</v>
      </c>
      <c r="B31" s="12">
        <f>_xlfn.XLOOKUP(A31,Beräkningar!K:K,Beräkningar!J:J,"Fel")</f>
        <v>0.66666666666666663</v>
      </c>
      <c r="C31" s="11">
        <v>1</v>
      </c>
    </row>
    <row r="32" spans="1:3" s="11" customFormat="1">
      <c r="A32" s="12">
        <f>Definitioner!A35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4</vt:i4>
      </vt:variant>
    </vt:vector>
  </HeadingPairs>
  <TitlesOfParts>
    <vt:vector size="4" baseType="lpstr">
      <vt:lpstr>Definitioner</vt:lpstr>
      <vt:lpstr>Indata</vt:lpstr>
      <vt:lpstr>Beräkningar</vt:lpstr>
      <vt:lpstr>Resultat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Spång</dc:creator>
  <cp:lastModifiedBy>Johan Spång</cp:lastModifiedBy>
  <dcterms:created xsi:type="dcterms:W3CDTF">2025-02-06T09:09:37Z</dcterms:created>
  <dcterms:modified xsi:type="dcterms:W3CDTF">2025-12-03T12:54:56Z</dcterms:modified>
</cp:coreProperties>
</file>